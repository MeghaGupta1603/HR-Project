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anAgrawal\Downloads\Payroll-Template-With-Attendance-1\"/>
    </mc:Choice>
  </mc:AlternateContent>
  <xr:revisionPtr revIDLastSave="0" documentId="13_ncr:1_{FBF30AF1-D85B-4F4E-94EE-5036A822CF10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Employee Attendance" sheetId="19" r:id="rId1"/>
    <sheet name="Salary Calculations" sheetId="1" r:id="rId2"/>
    <sheet name="Salary Data" sheetId="21" r:id="rId3"/>
    <sheet name="Salary Slip Generator" sheetId="2" r:id="rId4"/>
    <sheet name="Sheet1" sheetId="22" r:id="rId5"/>
  </sheets>
  <functionGroups builtInGroupCount="19"/>
  <definedNames>
    <definedName name="_xlnm._FilterDatabase" localSheetId="2" hidden="1">'Salary Data'!$B$2:$AJ$402</definedName>
    <definedName name="_xlnm.Print_Area" localSheetId="3">'Salary Slip Generator'!$A$1:$I$37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9" l="1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8" i="19"/>
  <c r="H23" i="2"/>
  <c r="H19" i="2"/>
  <c r="H16" i="2"/>
  <c r="E15" i="2"/>
  <c r="G11" i="2"/>
  <c r="G10" i="2"/>
  <c r="G9" i="2"/>
  <c r="G6" i="2"/>
  <c r="C6" i="2"/>
  <c r="G5" i="2"/>
  <c r="B3" i="2"/>
  <c r="B2" i="2"/>
  <c r="AK10" i="19"/>
  <c r="AK11" i="19"/>
  <c r="AK12" i="19"/>
  <c r="AK13" i="19"/>
  <c r="M12" i="1" s="1"/>
  <c r="AK14" i="19"/>
  <c r="M13" i="1" s="1"/>
  <c r="AK15" i="19"/>
  <c r="AK16" i="19"/>
  <c r="M15" i="1" s="1"/>
  <c r="AK17" i="19"/>
  <c r="M16" i="1" s="1"/>
  <c r="AK18" i="19"/>
  <c r="M17" i="1" s="1"/>
  <c r="AK19" i="19"/>
  <c r="AK20" i="19"/>
  <c r="AK21" i="19"/>
  <c r="M20" i="1" s="1"/>
  <c r="AK22" i="19"/>
  <c r="M21" i="1" s="1"/>
  <c r="AK23" i="19"/>
  <c r="M22" i="1" s="1"/>
  <c r="AK24" i="19"/>
  <c r="M23" i="1" s="1"/>
  <c r="AK25" i="19"/>
  <c r="M24" i="1" s="1"/>
  <c r="AK26" i="19"/>
  <c r="M25" i="1" s="1"/>
  <c r="AK27" i="19"/>
  <c r="AK28" i="19"/>
  <c r="AK29" i="19"/>
  <c r="M28" i="1" s="1"/>
  <c r="AK30" i="19"/>
  <c r="M29" i="1" s="1"/>
  <c r="AK31" i="19"/>
  <c r="M30" i="1" s="1"/>
  <c r="AK32" i="19"/>
  <c r="M31" i="1" s="1"/>
  <c r="AK33" i="19"/>
  <c r="M32" i="1" s="1"/>
  <c r="AK34" i="19"/>
  <c r="M33" i="1" s="1"/>
  <c r="AK35" i="19"/>
  <c r="AK36" i="19"/>
  <c r="AK37" i="19"/>
  <c r="M36" i="1" s="1"/>
  <c r="AK38" i="19"/>
  <c r="M37" i="1" s="1"/>
  <c r="AK39" i="19"/>
  <c r="M38" i="1" s="1"/>
  <c r="AK40" i="19"/>
  <c r="M39" i="1" s="1"/>
  <c r="AK41" i="19"/>
  <c r="M40" i="1" s="1"/>
  <c r="AK42" i="19"/>
  <c r="M41" i="1" s="1"/>
  <c r="AK43" i="19"/>
  <c r="AK44" i="19"/>
  <c r="AK45" i="19"/>
  <c r="M44" i="1" s="1"/>
  <c r="AK46" i="19"/>
  <c r="M45" i="1" s="1"/>
  <c r="AK47" i="19"/>
  <c r="M46" i="1" s="1"/>
  <c r="AK48" i="19"/>
  <c r="M47" i="1" s="1"/>
  <c r="AK49" i="19"/>
  <c r="M48" i="1" s="1"/>
  <c r="AK50" i="19"/>
  <c r="M49" i="1" s="1"/>
  <c r="AK51" i="19"/>
  <c r="AK52" i="19"/>
  <c r="AK53" i="19"/>
  <c r="M52" i="1" s="1"/>
  <c r="AK54" i="19"/>
  <c r="M53" i="1" s="1"/>
  <c r="AK55" i="19"/>
  <c r="M54" i="1" s="1"/>
  <c r="AK56" i="19"/>
  <c r="M55" i="1" s="1"/>
  <c r="AK57" i="19"/>
  <c r="M56" i="1" s="1"/>
  <c r="M26" i="1"/>
  <c r="M27" i="1"/>
  <c r="M34" i="1"/>
  <c r="M35" i="1"/>
  <c r="M42" i="1"/>
  <c r="M43" i="1"/>
  <c r="M50" i="1"/>
  <c r="M51" i="1"/>
  <c r="M11" i="1"/>
  <c r="M14" i="1"/>
  <c r="M18" i="1"/>
  <c r="M19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7" i="1"/>
  <c r="L7" i="1"/>
  <c r="C10" i="2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Q27" i="1"/>
  <c r="L28" i="1"/>
  <c r="Q28" i="1"/>
  <c r="L29" i="1"/>
  <c r="Q29" i="1"/>
  <c r="L30" i="1"/>
  <c r="Q30" i="1"/>
  <c r="L31" i="1"/>
  <c r="Q31" i="1"/>
  <c r="L32" i="1"/>
  <c r="Q32" i="1"/>
  <c r="L33" i="1"/>
  <c r="Q33" i="1"/>
  <c r="L34" i="1"/>
  <c r="Q34" i="1"/>
  <c r="L35" i="1"/>
  <c r="Q35" i="1"/>
  <c r="L36" i="1"/>
  <c r="Q36" i="1"/>
  <c r="L37" i="1"/>
  <c r="Q37" i="1"/>
  <c r="L38" i="1"/>
  <c r="Q38" i="1"/>
  <c r="L39" i="1"/>
  <c r="Q39" i="1"/>
  <c r="L40" i="1"/>
  <c r="Q40" i="1"/>
  <c r="L41" i="1"/>
  <c r="Q41" i="1"/>
  <c r="L42" i="1"/>
  <c r="Q42" i="1"/>
  <c r="L43" i="1"/>
  <c r="Q43" i="1"/>
  <c r="L44" i="1"/>
  <c r="Q44" i="1"/>
  <c r="L45" i="1"/>
  <c r="Q45" i="1"/>
  <c r="L46" i="1"/>
  <c r="Q46" i="1"/>
  <c r="L47" i="1"/>
  <c r="Q47" i="1"/>
  <c r="L48" i="1"/>
  <c r="Q48" i="1"/>
  <c r="L49" i="1"/>
  <c r="Q49" i="1"/>
  <c r="L50" i="1"/>
  <c r="Q50" i="1"/>
  <c r="L51" i="1"/>
  <c r="Q51" i="1"/>
  <c r="L52" i="1"/>
  <c r="Q52" i="1"/>
  <c r="L53" i="1"/>
  <c r="Q53" i="1"/>
  <c r="L54" i="1"/>
  <c r="Q54" i="1"/>
  <c r="L55" i="1"/>
  <c r="Q55" i="1"/>
  <c r="L56" i="1"/>
  <c r="Q56" i="1"/>
  <c r="W57" i="1"/>
  <c r="U57" i="1"/>
  <c r="S57" i="1"/>
  <c r="Q57" i="1"/>
  <c r="P57" i="1"/>
  <c r="P6" i="1" l="1"/>
  <c r="M9" i="1"/>
  <c r="O6" i="1"/>
  <c r="AI59" i="19"/>
  <c r="AH59" i="19"/>
  <c r="AG59" i="19"/>
  <c r="AF59" i="19"/>
  <c r="AE59" i="19"/>
  <c r="AD59" i="19"/>
  <c r="AC59" i="19"/>
  <c r="AB59" i="19"/>
  <c r="AA59" i="19"/>
  <c r="Z59" i="19"/>
  <c r="Y59" i="19"/>
  <c r="X59" i="19"/>
  <c r="W59" i="19"/>
  <c r="V59" i="19"/>
  <c r="U59" i="19"/>
  <c r="T59" i="19"/>
  <c r="S59" i="19"/>
  <c r="R59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AJ57" i="19"/>
  <c r="AJ56" i="19"/>
  <c r="AJ55" i="19"/>
  <c r="K54" i="1" s="1"/>
  <c r="AJ54" i="19"/>
  <c r="AM54" i="19" s="1"/>
  <c r="N53" i="1" s="1"/>
  <c r="AJ53" i="19"/>
  <c r="AJ52" i="19"/>
  <c r="AJ51" i="19"/>
  <c r="K50" i="1" s="1"/>
  <c r="AJ50" i="19"/>
  <c r="AM50" i="19" s="1"/>
  <c r="N49" i="1" s="1"/>
  <c r="AJ49" i="19"/>
  <c r="AJ48" i="19"/>
  <c r="AJ47" i="19"/>
  <c r="K46" i="1" s="1"/>
  <c r="AJ46" i="19"/>
  <c r="K45" i="1" s="1"/>
  <c r="AJ45" i="19"/>
  <c r="AJ44" i="19"/>
  <c r="AJ43" i="19"/>
  <c r="K42" i="1" s="1"/>
  <c r="AJ42" i="19"/>
  <c r="K41" i="1" s="1"/>
  <c r="AJ41" i="19"/>
  <c r="AJ40" i="19"/>
  <c r="AJ39" i="19"/>
  <c r="K38" i="1" s="1"/>
  <c r="AJ38" i="19"/>
  <c r="K37" i="1" s="1"/>
  <c r="AJ37" i="19"/>
  <c r="AJ36" i="19"/>
  <c r="AJ35" i="19"/>
  <c r="K34" i="1" s="1"/>
  <c r="AJ34" i="19"/>
  <c r="AM34" i="19" s="1"/>
  <c r="N33" i="1" s="1"/>
  <c r="AJ33" i="19"/>
  <c r="AJ32" i="19"/>
  <c r="AJ31" i="19"/>
  <c r="K30" i="1" s="1"/>
  <c r="AJ30" i="19"/>
  <c r="K29" i="1" s="1"/>
  <c r="AJ29" i="19"/>
  <c r="AJ28" i="19"/>
  <c r="AJ27" i="19"/>
  <c r="K26" i="1" s="1"/>
  <c r="AJ26" i="19"/>
  <c r="K25" i="1" s="1"/>
  <c r="AJ25" i="19"/>
  <c r="AJ24" i="19"/>
  <c r="AJ23" i="19"/>
  <c r="K22" i="1" s="1"/>
  <c r="AJ22" i="19"/>
  <c r="K21" i="1" s="1"/>
  <c r="AJ21" i="19"/>
  <c r="AJ20" i="19"/>
  <c r="AJ19" i="19"/>
  <c r="K18" i="1" s="1"/>
  <c r="AJ18" i="19"/>
  <c r="K17" i="1" s="1"/>
  <c r="AJ17" i="19"/>
  <c r="AJ16" i="19"/>
  <c r="AJ15" i="19"/>
  <c r="K14" i="1" s="1"/>
  <c r="AJ14" i="19"/>
  <c r="K13" i="1" s="1"/>
  <c r="AJ13" i="19"/>
  <c r="AJ12" i="19"/>
  <c r="AJ11" i="19"/>
  <c r="K10" i="1" s="1"/>
  <c r="AJ10" i="19"/>
  <c r="K9" i="1" s="1"/>
  <c r="AK9" i="19"/>
  <c r="M8" i="1" s="1"/>
  <c r="AJ9" i="19"/>
  <c r="AK8" i="19"/>
  <c r="M7" i="1" s="1"/>
  <c r="AJ8" i="19"/>
  <c r="C3" i="19"/>
  <c r="AH7" i="19" s="1"/>
  <c r="AH6" i="19" s="1"/>
  <c r="Z57" i="1"/>
  <c r="AE57" i="1"/>
  <c r="AM9" i="19" l="1"/>
  <c r="N8" i="1" s="1"/>
  <c r="AM18" i="19"/>
  <c r="N17" i="1" s="1"/>
  <c r="S17" i="1" s="1"/>
  <c r="AM42" i="19"/>
  <c r="N41" i="1" s="1"/>
  <c r="AM23" i="19"/>
  <c r="N22" i="1" s="1"/>
  <c r="S22" i="1" s="1"/>
  <c r="AM47" i="19"/>
  <c r="N46" i="1" s="1"/>
  <c r="P46" i="1" s="1"/>
  <c r="AM26" i="19"/>
  <c r="N25" i="1" s="1"/>
  <c r="S25" i="1" s="1"/>
  <c r="K33" i="1"/>
  <c r="AM39" i="19"/>
  <c r="N38" i="1" s="1"/>
  <c r="AM55" i="19"/>
  <c r="N54" i="1" s="1"/>
  <c r="K12" i="1"/>
  <c r="AM13" i="19"/>
  <c r="N12" i="1" s="1"/>
  <c r="AM17" i="19"/>
  <c r="N16" i="1" s="1"/>
  <c r="K16" i="1"/>
  <c r="K20" i="1"/>
  <c r="AM21" i="19"/>
  <c r="N20" i="1" s="1"/>
  <c r="AM25" i="19"/>
  <c r="N24" i="1" s="1"/>
  <c r="K24" i="1"/>
  <c r="AM29" i="19"/>
  <c r="N28" i="1" s="1"/>
  <c r="K28" i="1"/>
  <c r="AM33" i="19"/>
  <c r="N32" i="1" s="1"/>
  <c r="K32" i="1"/>
  <c r="K36" i="1"/>
  <c r="AM37" i="19"/>
  <c r="N36" i="1" s="1"/>
  <c r="AM41" i="19"/>
  <c r="N40" i="1" s="1"/>
  <c r="K40" i="1"/>
  <c r="K44" i="1"/>
  <c r="AM45" i="19"/>
  <c r="N44" i="1" s="1"/>
  <c r="AM49" i="19"/>
  <c r="N48" i="1" s="1"/>
  <c r="K48" i="1"/>
  <c r="K52" i="1"/>
  <c r="AM53" i="19"/>
  <c r="N52" i="1" s="1"/>
  <c r="AM57" i="19"/>
  <c r="N56" i="1" s="1"/>
  <c r="K56" i="1"/>
  <c r="K49" i="1"/>
  <c r="AM38" i="19"/>
  <c r="N37" i="1" s="1"/>
  <c r="P37" i="1" s="1"/>
  <c r="AM43" i="19"/>
  <c r="N42" i="1" s="1"/>
  <c r="AM14" i="19"/>
  <c r="N13" i="1" s="1"/>
  <c r="S13" i="1" s="1"/>
  <c r="AM19" i="19"/>
  <c r="N18" i="1" s="1"/>
  <c r="AM35" i="19"/>
  <c r="N34" i="1" s="1"/>
  <c r="AM51" i="19"/>
  <c r="N50" i="1" s="1"/>
  <c r="C11" i="2"/>
  <c r="AM12" i="19"/>
  <c r="N11" i="1" s="1"/>
  <c r="K11" i="1"/>
  <c r="AM16" i="19"/>
  <c r="N15" i="1" s="1"/>
  <c r="K15" i="1"/>
  <c r="AM20" i="19"/>
  <c r="N19" i="1" s="1"/>
  <c r="K19" i="1"/>
  <c r="K23" i="1"/>
  <c r="AM24" i="19"/>
  <c r="N23" i="1" s="1"/>
  <c r="AM28" i="19"/>
  <c r="N27" i="1" s="1"/>
  <c r="K27" i="1"/>
  <c r="AM32" i="19"/>
  <c r="N31" i="1" s="1"/>
  <c r="K31" i="1"/>
  <c r="AM36" i="19"/>
  <c r="N35" i="1" s="1"/>
  <c r="K35" i="1"/>
  <c r="AM40" i="19"/>
  <c r="N39" i="1" s="1"/>
  <c r="K39" i="1"/>
  <c r="AM44" i="19"/>
  <c r="N43" i="1" s="1"/>
  <c r="K43" i="1"/>
  <c r="K47" i="1"/>
  <c r="AM48" i="19"/>
  <c r="N47" i="1" s="1"/>
  <c r="AM52" i="19"/>
  <c r="N51" i="1" s="1"/>
  <c r="K51" i="1"/>
  <c r="AM56" i="19"/>
  <c r="N55" i="1" s="1"/>
  <c r="K55" i="1"/>
  <c r="AM30" i="19"/>
  <c r="N29" i="1" s="1"/>
  <c r="AM31" i="19"/>
  <c r="N30" i="1" s="1"/>
  <c r="S30" i="1" s="1"/>
  <c r="K53" i="1"/>
  <c r="AM46" i="19"/>
  <c r="N45" i="1" s="1"/>
  <c r="AM15" i="19"/>
  <c r="N14" i="1" s="1"/>
  <c r="P14" i="1" s="1"/>
  <c r="AM22" i="19"/>
  <c r="N21" i="1" s="1"/>
  <c r="AM27" i="19"/>
  <c r="N26" i="1" s="1"/>
  <c r="AM11" i="19"/>
  <c r="N10" i="1" s="1"/>
  <c r="AM10" i="19"/>
  <c r="N9" i="1" s="1"/>
  <c r="S46" i="1"/>
  <c r="U17" i="1"/>
  <c r="K7" i="1"/>
  <c r="AM8" i="19"/>
  <c r="K8" i="1"/>
  <c r="E7" i="19"/>
  <c r="E6" i="19" s="1"/>
  <c r="I7" i="19"/>
  <c r="I6" i="19" s="1"/>
  <c r="M7" i="19"/>
  <c r="M6" i="19" s="1"/>
  <c r="Q7" i="19"/>
  <c r="Q6" i="19" s="1"/>
  <c r="U7" i="19"/>
  <c r="U6" i="19" s="1"/>
  <c r="Y7" i="19"/>
  <c r="Y6" i="19" s="1"/>
  <c r="AC7" i="19"/>
  <c r="AC6" i="19" s="1"/>
  <c r="AG7" i="19"/>
  <c r="AG6" i="19" s="1"/>
  <c r="H7" i="19"/>
  <c r="H6" i="19" s="1"/>
  <c r="L7" i="19"/>
  <c r="L6" i="19" s="1"/>
  <c r="P7" i="19"/>
  <c r="P6" i="19" s="1"/>
  <c r="T7" i="19"/>
  <c r="T6" i="19" s="1"/>
  <c r="X7" i="19"/>
  <c r="X6" i="19" s="1"/>
  <c r="AB7" i="19"/>
  <c r="AB6" i="19" s="1"/>
  <c r="AF7" i="19"/>
  <c r="AF6" i="19" s="1"/>
  <c r="G7" i="19"/>
  <c r="G6" i="19" s="1"/>
  <c r="K7" i="19"/>
  <c r="K6" i="19" s="1"/>
  <c r="O7" i="19"/>
  <c r="O6" i="19" s="1"/>
  <c r="S7" i="19"/>
  <c r="S6" i="19" s="1"/>
  <c r="W7" i="19"/>
  <c r="W6" i="19" s="1"/>
  <c r="AA7" i="19"/>
  <c r="AA6" i="19" s="1"/>
  <c r="AE7" i="19"/>
  <c r="AE6" i="19" s="1"/>
  <c r="AI7" i="19"/>
  <c r="AI6" i="19" s="1"/>
  <c r="F7" i="19"/>
  <c r="F6" i="19" s="1"/>
  <c r="J7" i="19"/>
  <c r="J6" i="19" s="1"/>
  <c r="N7" i="19"/>
  <c r="N6" i="19" s="1"/>
  <c r="R7" i="19"/>
  <c r="R6" i="19" s="1"/>
  <c r="V7" i="19"/>
  <c r="V6" i="19" s="1"/>
  <c r="Z7" i="19"/>
  <c r="Z6" i="19" s="1"/>
  <c r="AD7" i="19"/>
  <c r="AD6" i="19" s="1"/>
  <c r="P25" i="1" l="1"/>
  <c r="P33" i="1"/>
  <c r="U22" i="1"/>
  <c r="P42" i="1"/>
  <c r="P30" i="1"/>
  <c r="Q25" i="1"/>
  <c r="V25" i="1" s="1"/>
  <c r="W25" i="1" s="1"/>
  <c r="U30" i="1"/>
  <c r="S42" i="1"/>
  <c r="P22" i="1"/>
  <c r="Q22" i="1" s="1"/>
  <c r="U42" i="1"/>
  <c r="U33" i="1"/>
  <c r="S33" i="1"/>
  <c r="S49" i="1"/>
  <c r="U14" i="1"/>
  <c r="P26" i="1"/>
  <c r="Q26" i="1" s="1"/>
  <c r="P53" i="1"/>
  <c r="U13" i="1"/>
  <c r="U49" i="1"/>
  <c r="S53" i="1"/>
  <c r="U46" i="1"/>
  <c r="P49" i="1"/>
  <c r="U53" i="1"/>
  <c r="Q14" i="1"/>
  <c r="V14" i="1" s="1"/>
  <c r="W14" i="1" s="1"/>
  <c r="U26" i="1"/>
  <c r="S26" i="1"/>
  <c r="S55" i="1"/>
  <c r="U55" i="1"/>
  <c r="P55" i="1"/>
  <c r="S39" i="1"/>
  <c r="U39" i="1"/>
  <c r="P39" i="1"/>
  <c r="S31" i="1"/>
  <c r="P31" i="1"/>
  <c r="U31" i="1"/>
  <c r="P15" i="1"/>
  <c r="S15" i="1"/>
  <c r="U15" i="1"/>
  <c r="P13" i="1"/>
  <c r="U54" i="1"/>
  <c r="P54" i="1"/>
  <c r="S54" i="1"/>
  <c r="P10" i="1"/>
  <c r="U10" i="1"/>
  <c r="S10" i="1"/>
  <c r="S45" i="1"/>
  <c r="U45" i="1"/>
  <c r="P45" i="1"/>
  <c r="S47" i="1"/>
  <c r="P47" i="1"/>
  <c r="U47" i="1"/>
  <c r="P23" i="1"/>
  <c r="U23" i="1"/>
  <c r="S23" i="1"/>
  <c r="U18" i="1"/>
  <c r="S18" i="1"/>
  <c r="P18" i="1"/>
  <c r="U28" i="1"/>
  <c r="P28" i="1"/>
  <c r="S28" i="1"/>
  <c r="U25" i="1"/>
  <c r="P17" i="1"/>
  <c r="C9" i="2"/>
  <c r="S9" i="1"/>
  <c r="S14" i="1"/>
  <c r="S29" i="1"/>
  <c r="U29" i="1"/>
  <c r="P29" i="1"/>
  <c r="P51" i="1"/>
  <c r="U51" i="1"/>
  <c r="S51" i="1"/>
  <c r="S43" i="1"/>
  <c r="P43" i="1"/>
  <c r="U43" i="1"/>
  <c r="U35" i="1"/>
  <c r="P35" i="1"/>
  <c r="S35" i="1"/>
  <c r="P27" i="1"/>
  <c r="V27" i="1" s="1"/>
  <c r="W27" i="1" s="1"/>
  <c r="U27" i="1"/>
  <c r="P19" i="1"/>
  <c r="S19" i="1"/>
  <c r="U19" i="1"/>
  <c r="S11" i="1"/>
  <c r="U11" i="1"/>
  <c r="P11" i="1"/>
  <c r="P34" i="1"/>
  <c r="S34" i="1"/>
  <c r="U34" i="1"/>
  <c r="V34" i="1"/>
  <c r="W34" i="1" s="1"/>
  <c r="U37" i="1"/>
  <c r="S37" i="1"/>
  <c r="S52" i="1"/>
  <c r="P52" i="1"/>
  <c r="U52" i="1"/>
  <c r="S44" i="1"/>
  <c r="U44" i="1"/>
  <c r="P44" i="1"/>
  <c r="P36" i="1"/>
  <c r="U36" i="1"/>
  <c r="S36" i="1"/>
  <c r="S20" i="1"/>
  <c r="U20" i="1"/>
  <c r="P20" i="1"/>
  <c r="P12" i="1"/>
  <c r="S12" i="1"/>
  <c r="U12" i="1"/>
  <c r="P41" i="1"/>
  <c r="U41" i="1"/>
  <c r="S41" i="1"/>
  <c r="U21" i="1"/>
  <c r="P21" i="1"/>
  <c r="S21" i="1"/>
  <c r="S27" i="1"/>
  <c r="S50" i="1"/>
  <c r="U50" i="1"/>
  <c r="P50" i="1"/>
  <c r="U56" i="1"/>
  <c r="P56" i="1"/>
  <c r="S56" i="1"/>
  <c r="P48" i="1"/>
  <c r="S48" i="1"/>
  <c r="U48" i="1"/>
  <c r="U40" i="1"/>
  <c r="S40" i="1"/>
  <c r="P40" i="1"/>
  <c r="U32" i="1"/>
  <c r="P32" i="1"/>
  <c r="S32" i="1"/>
  <c r="P24" i="1"/>
  <c r="S24" i="1"/>
  <c r="U24" i="1"/>
  <c r="S16" i="1"/>
  <c r="U16" i="1"/>
  <c r="P16" i="1"/>
  <c r="P38" i="1"/>
  <c r="S38" i="1"/>
  <c r="U38" i="1"/>
  <c r="U9" i="1"/>
  <c r="P9" i="1"/>
  <c r="V37" i="1"/>
  <c r="W37" i="1" s="1"/>
  <c r="V46" i="1"/>
  <c r="W46" i="1" s="1"/>
  <c r="V30" i="1"/>
  <c r="W30" i="1" s="1"/>
  <c r="V33" i="1"/>
  <c r="W33" i="1" s="1"/>
  <c r="N7" i="1"/>
  <c r="AF57" i="1"/>
  <c r="AD57" i="1"/>
  <c r="T57" i="1"/>
  <c r="R57" i="1"/>
  <c r="V42" i="1" l="1"/>
  <c r="W42" i="1" s="1"/>
  <c r="V40" i="1"/>
  <c r="W40" i="1" s="1"/>
  <c r="X42" i="1"/>
  <c r="Y42" i="1" s="1"/>
  <c r="X33" i="1"/>
  <c r="Y33" i="1" s="1"/>
  <c r="AC33" i="1" s="1"/>
  <c r="V32" i="1"/>
  <c r="W32" i="1" s="1"/>
  <c r="V50" i="1"/>
  <c r="W50" i="1" s="1"/>
  <c r="V36" i="1"/>
  <c r="W36" i="1" s="1"/>
  <c r="V35" i="1"/>
  <c r="W35" i="1" s="1"/>
  <c r="V45" i="1"/>
  <c r="W45" i="1" s="1"/>
  <c r="V55" i="1"/>
  <c r="W55" i="1" s="1"/>
  <c r="V47" i="1"/>
  <c r="W47" i="1" s="1"/>
  <c r="V39" i="1"/>
  <c r="W39" i="1" s="1"/>
  <c r="V41" i="1"/>
  <c r="W41" i="1" s="1"/>
  <c r="V43" i="1"/>
  <c r="W43" i="1" s="1"/>
  <c r="V53" i="1"/>
  <c r="W53" i="1" s="1"/>
  <c r="V52" i="1"/>
  <c r="W52" i="1" s="1"/>
  <c r="V29" i="1"/>
  <c r="W29" i="1" s="1"/>
  <c r="V22" i="1"/>
  <c r="W22" i="1" s="1"/>
  <c r="X46" i="1"/>
  <c r="Y46" i="1" s="1"/>
  <c r="V31" i="1"/>
  <c r="W31" i="1" s="1"/>
  <c r="V48" i="1"/>
  <c r="W48" i="1" s="1"/>
  <c r="V56" i="1"/>
  <c r="W56" i="1" s="1"/>
  <c r="V44" i="1"/>
  <c r="W44" i="1" s="1"/>
  <c r="V51" i="1"/>
  <c r="W51" i="1" s="1"/>
  <c r="V28" i="1"/>
  <c r="W28" i="1" s="1"/>
  <c r="V49" i="1"/>
  <c r="W49" i="1" s="1"/>
  <c r="X30" i="1"/>
  <c r="Y30" i="1" s="1"/>
  <c r="AB30" i="1" s="1"/>
  <c r="Q12" i="1"/>
  <c r="V12" i="1" s="1"/>
  <c r="W12" i="1" s="1"/>
  <c r="Q17" i="1"/>
  <c r="Q23" i="1"/>
  <c r="V23" i="1" s="1"/>
  <c r="W23" i="1" s="1"/>
  <c r="X14" i="1"/>
  <c r="Y14" i="1" s="1"/>
  <c r="Q16" i="1"/>
  <c r="Q18" i="1"/>
  <c r="V18" i="1" s="1"/>
  <c r="W18" i="1" s="1"/>
  <c r="X34" i="1"/>
  <c r="Y34" i="1" s="1"/>
  <c r="V38" i="1"/>
  <c r="W38" i="1" s="1"/>
  <c r="Q20" i="1"/>
  <c r="Q11" i="1"/>
  <c r="Q15" i="1"/>
  <c r="V15" i="1" s="1"/>
  <c r="W15" i="1" s="1"/>
  <c r="X31" i="1"/>
  <c r="Y31" i="1" s="1"/>
  <c r="X22" i="1"/>
  <c r="Y22" i="1" s="1"/>
  <c r="Q21" i="1"/>
  <c r="V21" i="1" s="1"/>
  <c r="W21" i="1" s="1"/>
  <c r="E10" i="2"/>
  <c r="Q24" i="1"/>
  <c r="X27" i="1"/>
  <c r="Y27" i="1" s="1"/>
  <c r="Q19" i="1"/>
  <c r="V19" i="1" s="1"/>
  <c r="W19" i="1" s="1"/>
  <c r="Q10" i="1"/>
  <c r="V10" i="1" s="1"/>
  <c r="W10" i="1" s="1"/>
  <c r="V54" i="1"/>
  <c r="W54" i="1" s="1"/>
  <c r="Q13" i="1"/>
  <c r="V13" i="1" s="1"/>
  <c r="W13" i="1" s="1"/>
  <c r="Q9" i="1"/>
  <c r="V26" i="1"/>
  <c r="W26" i="1" s="1"/>
  <c r="AB46" i="1"/>
  <c r="X37" i="1"/>
  <c r="Y37" i="1" s="1"/>
  <c r="X25" i="1"/>
  <c r="Y25" i="1" s="1"/>
  <c r="P7" i="1"/>
  <c r="S7" i="1"/>
  <c r="U7" i="1"/>
  <c r="U8" i="1"/>
  <c r="S8" i="1"/>
  <c r="P8" i="1"/>
  <c r="X35" i="1" l="1"/>
  <c r="Y35" i="1" s="1"/>
  <c r="X40" i="1"/>
  <c r="Y40" i="1" s="1"/>
  <c r="AC40" i="1" s="1"/>
  <c r="X56" i="1"/>
  <c r="Y56" i="1" s="1"/>
  <c r="X41" i="1"/>
  <c r="Y41" i="1" s="1"/>
  <c r="X50" i="1"/>
  <c r="Y50" i="1" s="1"/>
  <c r="AC42" i="1"/>
  <c r="AB42" i="1"/>
  <c r="AC30" i="1"/>
  <c r="X47" i="1"/>
  <c r="Y47" i="1" s="1"/>
  <c r="AB47" i="1" s="1"/>
  <c r="AB35" i="1"/>
  <c r="X43" i="1"/>
  <c r="Y43" i="1" s="1"/>
  <c r="AC43" i="1" s="1"/>
  <c r="AB33" i="1"/>
  <c r="X36" i="1"/>
  <c r="Y36" i="1" s="1"/>
  <c r="AC36" i="1" s="1"/>
  <c r="X39" i="1"/>
  <c r="Y39" i="1" s="1"/>
  <c r="AC39" i="1" s="1"/>
  <c r="AC56" i="1"/>
  <c r="AB56" i="1"/>
  <c r="X45" i="1"/>
  <c r="Y45" i="1" s="1"/>
  <c r="AC45" i="1" s="1"/>
  <c r="X32" i="1"/>
  <c r="Y32" i="1" s="1"/>
  <c r="AC32" i="1" s="1"/>
  <c r="X29" i="1"/>
  <c r="Y29" i="1" s="1"/>
  <c r="AC46" i="1"/>
  <c r="X49" i="1"/>
  <c r="Y49" i="1" s="1"/>
  <c r="X44" i="1"/>
  <c r="Y44" i="1" s="1"/>
  <c r="V11" i="1"/>
  <c r="W11" i="1" s="1"/>
  <c r="X51" i="1"/>
  <c r="Y51" i="1" s="1"/>
  <c r="X55" i="1"/>
  <c r="Y55" i="1" s="1"/>
  <c r="AC55" i="1" s="1"/>
  <c r="X28" i="1"/>
  <c r="Y28" i="1" s="1"/>
  <c r="V24" i="1"/>
  <c r="W24" i="1" s="1"/>
  <c r="V20" i="1"/>
  <c r="W20" i="1" s="1"/>
  <c r="V16" i="1"/>
  <c r="W16" i="1" s="1"/>
  <c r="V17" i="1"/>
  <c r="W17" i="1" s="1"/>
  <c r="X52" i="1"/>
  <c r="Y52" i="1" s="1"/>
  <c r="X48" i="1"/>
  <c r="Y48" i="1" s="1"/>
  <c r="AC48" i="1" s="1"/>
  <c r="X53" i="1"/>
  <c r="Y53" i="1" s="1"/>
  <c r="X18" i="1"/>
  <c r="Y18" i="1" s="1"/>
  <c r="X38" i="1"/>
  <c r="Y38" i="1" s="1"/>
  <c r="X13" i="1"/>
  <c r="Y13" i="1" s="1"/>
  <c r="X10" i="1"/>
  <c r="Y10" i="1" s="1"/>
  <c r="X15" i="1"/>
  <c r="Y15" i="1" s="1"/>
  <c r="E21" i="2"/>
  <c r="AC27" i="1"/>
  <c r="AB27" i="1"/>
  <c r="AB40" i="1"/>
  <c r="X23" i="1"/>
  <c r="Y23" i="1" s="1"/>
  <c r="X54" i="1"/>
  <c r="Y54" i="1" s="1"/>
  <c r="AC22" i="1"/>
  <c r="Q7" i="1"/>
  <c r="V7" i="1" s="1"/>
  <c r="W7" i="1" s="1"/>
  <c r="E17" i="2"/>
  <c r="E22" i="2"/>
  <c r="X19" i="1"/>
  <c r="Y19" i="1" s="1"/>
  <c r="X21" i="1"/>
  <c r="Y21" i="1" s="1"/>
  <c r="AB31" i="1"/>
  <c r="AC31" i="1"/>
  <c r="AC34" i="1"/>
  <c r="AB34" i="1"/>
  <c r="AC14" i="1"/>
  <c r="AB14" i="1"/>
  <c r="X12" i="1"/>
  <c r="Y12" i="1" s="1"/>
  <c r="AB22" i="1"/>
  <c r="V9" i="1"/>
  <c r="W9" i="1" s="1"/>
  <c r="AB37" i="1"/>
  <c r="AC37" i="1"/>
  <c r="X26" i="1"/>
  <c r="Y26" i="1" s="1"/>
  <c r="AB25" i="1"/>
  <c r="AC25" i="1"/>
  <c r="Q8" i="1"/>
  <c r="AE33" i="1"/>
  <c r="AG33" i="1" s="1"/>
  <c r="V8" i="1"/>
  <c r="W8" i="1" s="1"/>
  <c r="AE30" i="1" l="1"/>
  <c r="AG30" i="1" s="1"/>
  <c r="AE56" i="1"/>
  <c r="AG56" i="1" s="1"/>
  <c r="AB39" i="1"/>
  <c r="AB55" i="1"/>
  <c r="AE55" i="1" s="1"/>
  <c r="AG55" i="1" s="1"/>
  <c r="AC47" i="1"/>
  <c r="AB41" i="1"/>
  <c r="AC41" i="1"/>
  <c r="AC35" i="1"/>
  <c r="AB50" i="1"/>
  <c r="AC50" i="1"/>
  <c r="AB43" i="1"/>
  <c r="AB32" i="1"/>
  <c r="AB48" i="1"/>
  <c r="AE42" i="1"/>
  <c r="AG42" i="1" s="1"/>
  <c r="AE46" i="1"/>
  <c r="AG46" i="1" s="1"/>
  <c r="AB45" i="1"/>
  <c r="X17" i="1"/>
  <c r="Y17" i="1" s="1"/>
  <c r="AC17" i="1" s="1"/>
  <c r="AE35" i="1"/>
  <c r="AG35" i="1" s="1"/>
  <c r="AB36" i="1"/>
  <c r="X20" i="1"/>
  <c r="Y20" i="1" s="1"/>
  <c r="AC20" i="1" s="1"/>
  <c r="AB53" i="1"/>
  <c r="AC53" i="1"/>
  <c r="X16" i="1"/>
  <c r="Y16" i="1" s="1"/>
  <c r="X24" i="1"/>
  <c r="Y24" i="1" s="1"/>
  <c r="X11" i="1"/>
  <c r="Y11" i="1" s="1"/>
  <c r="AC49" i="1"/>
  <c r="AB49" i="1"/>
  <c r="AC29" i="1"/>
  <c r="AB29" i="1"/>
  <c r="AB44" i="1"/>
  <c r="AC44" i="1"/>
  <c r="AE22" i="1"/>
  <c r="AG22" i="1" s="1"/>
  <c r="AB52" i="1"/>
  <c r="AC52" i="1"/>
  <c r="AB28" i="1"/>
  <c r="AC28" i="1"/>
  <c r="AC51" i="1"/>
  <c r="AB51" i="1"/>
  <c r="X7" i="1"/>
  <c r="AE14" i="1"/>
  <c r="AG14" i="1" s="1"/>
  <c r="AC21" i="1"/>
  <c r="AB21" i="1"/>
  <c r="AC23" i="1"/>
  <c r="AB23" i="1"/>
  <c r="AE40" i="1"/>
  <c r="AG40" i="1" s="1"/>
  <c r="AC13" i="1"/>
  <c r="AB13" i="1"/>
  <c r="AB18" i="1"/>
  <c r="AC18" i="1"/>
  <c r="AB12" i="1"/>
  <c r="AC12" i="1"/>
  <c r="AE34" i="1"/>
  <c r="AG34" i="1" s="1"/>
  <c r="AE43" i="1"/>
  <c r="AG43" i="1" s="1"/>
  <c r="E20" i="2"/>
  <c r="AC54" i="1"/>
  <c r="AB54" i="1"/>
  <c r="AE27" i="1"/>
  <c r="AG27" i="1" s="1"/>
  <c r="AE45" i="1"/>
  <c r="AG45" i="1" s="1"/>
  <c r="AC10" i="1"/>
  <c r="AB10" i="1"/>
  <c r="AC38" i="1"/>
  <c r="AB38" i="1"/>
  <c r="E23" i="2"/>
  <c r="AE31" i="1"/>
  <c r="AG31" i="1" s="1"/>
  <c r="AC19" i="1"/>
  <c r="AB19" i="1"/>
  <c r="AB15" i="1"/>
  <c r="AC15" i="1"/>
  <c r="X9" i="1"/>
  <c r="Y9" i="1" s="1"/>
  <c r="AE37" i="1"/>
  <c r="AG37" i="1" s="1"/>
  <c r="AB26" i="1"/>
  <c r="AC26" i="1"/>
  <c r="AE25" i="1"/>
  <c r="AG25" i="1" s="1"/>
  <c r="X8" i="1"/>
  <c r="Y8" i="1" s="1"/>
  <c r="AE36" i="1" l="1"/>
  <c r="AG36" i="1" s="1"/>
  <c r="AE39" i="1"/>
  <c r="AG39" i="1" s="1"/>
  <c r="AE32" i="1"/>
  <c r="AG32" i="1" s="1"/>
  <c r="AE47" i="1"/>
  <c r="AG47" i="1" s="1"/>
  <c r="AE48" i="1"/>
  <c r="AG48" i="1" s="1"/>
  <c r="AE41" i="1"/>
  <c r="AG41" i="1" s="1"/>
  <c r="AE50" i="1"/>
  <c r="AG50" i="1" s="1"/>
  <c r="AB17" i="1"/>
  <c r="AB20" i="1"/>
  <c r="AE20" i="1" s="1"/>
  <c r="AG20" i="1" s="1"/>
  <c r="AC11" i="1"/>
  <c r="AB11" i="1"/>
  <c r="AE52" i="1"/>
  <c r="AG52" i="1" s="1"/>
  <c r="AE44" i="1"/>
  <c r="AG44" i="1" s="1"/>
  <c r="AE29" i="1"/>
  <c r="AG29" i="1" s="1"/>
  <c r="AC24" i="1"/>
  <c r="AB24" i="1"/>
  <c r="AE53" i="1"/>
  <c r="AG53" i="1" s="1"/>
  <c r="AE51" i="1"/>
  <c r="AG51" i="1" s="1"/>
  <c r="AE28" i="1"/>
  <c r="AG28" i="1" s="1"/>
  <c r="AE49" i="1"/>
  <c r="AG49" i="1" s="1"/>
  <c r="AB16" i="1"/>
  <c r="AC16" i="1"/>
  <c r="E25" i="2"/>
  <c r="Y7" i="1"/>
  <c r="E27" i="2" s="1"/>
  <c r="AE54" i="1"/>
  <c r="AG54" i="1" s="1"/>
  <c r="AE21" i="1"/>
  <c r="AG21" i="1" s="1"/>
  <c r="AE19" i="1"/>
  <c r="AG19" i="1" s="1"/>
  <c r="AE13" i="1"/>
  <c r="AG13" i="1" s="1"/>
  <c r="AE38" i="1"/>
  <c r="AG38" i="1" s="1"/>
  <c r="AE12" i="1"/>
  <c r="AG12" i="1" s="1"/>
  <c r="AE15" i="1"/>
  <c r="AG15" i="1" s="1"/>
  <c r="AE10" i="1"/>
  <c r="AG10" i="1" s="1"/>
  <c r="AE18" i="1"/>
  <c r="AG18" i="1" s="1"/>
  <c r="AE23" i="1"/>
  <c r="AG23" i="1" s="1"/>
  <c r="AC9" i="1"/>
  <c r="AB9" i="1"/>
  <c r="AE26" i="1"/>
  <c r="AG26" i="1" s="1"/>
  <c r="AB8" i="1"/>
  <c r="AC8" i="1"/>
  <c r="AE17" i="1" l="1"/>
  <c r="AG17" i="1" s="1"/>
  <c r="AE16" i="1"/>
  <c r="AG16" i="1" s="1"/>
  <c r="AE11" i="1"/>
  <c r="AG11" i="1" s="1"/>
  <c r="AE24" i="1"/>
  <c r="AG24" i="1" s="1"/>
  <c r="AB7" i="1"/>
  <c r="AC7" i="1"/>
  <c r="AE9" i="1"/>
  <c r="AG9" i="1" s="1"/>
  <c r="AE8" i="1"/>
  <c r="AG8" i="1" s="1"/>
  <c r="H17" i="2" l="1"/>
  <c r="AE7" i="1"/>
  <c r="AG7" i="1" s="1"/>
  <c r="H18" i="2"/>
  <c r="H21" i="2" l="1"/>
  <c r="H27" i="2" s="1"/>
  <c r="D29" i="2"/>
  <c r="V57" i="1" l="1"/>
  <c r="X57" i="1" l="1"/>
  <c r="Y57" i="1" l="1"/>
  <c r="AC57" i="1" s="1"/>
  <c r="AB57" i="1" l="1"/>
  <c r="AG5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D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MSOfficeGeek: Insert Your Company Name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MSOfficeGeek: Insert Your Office Address</t>
        </r>
      </text>
    </comment>
  </commentList>
</comments>
</file>

<file path=xl/sharedStrings.xml><?xml version="1.0" encoding="utf-8"?>
<sst xmlns="http://schemas.openxmlformats.org/spreadsheetml/2006/main" count="3448" uniqueCount="329">
  <si>
    <t>Employee Name</t>
  </si>
  <si>
    <t>Designation</t>
  </si>
  <si>
    <t>Employee UID</t>
  </si>
  <si>
    <t>Basic</t>
  </si>
  <si>
    <t>Allowances</t>
  </si>
  <si>
    <t>Deductions</t>
  </si>
  <si>
    <t>Net Salary</t>
  </si>
  <si>
    <t>January</t>
  </si>
  <si>
    <t>Sr.No</t>
  </si>
  <si>
    <t>Sunil Upadhay</t>
  </si>
  <si>
    <t>Astha Puri</t>
  </si>
  <si>
    <t>Bijal Pande</t>
  </si>
  <si>
    <t>Chirag Sharma</t>
  </si>
  <si>
    <t>Divya Soni</t>
  </si>
  <si>
    <t>Erum Rastogi</t>
  </si>
  <si>
    <t>Geet Sahu</t>
  </si>
  <si>
    <t>Farhan Patel</t>
  </si>
  <si>
    <t>Himesh Surya</t>
  </si>
  <si>
    <t>Imran Abha</t>
  </si>
  <si>
    <t>Jitendra Pande</t>
  </si>
  <si>
    <t>Kailash Rane</t>
  </si>
  <si>
    <t>Luv Patel</t>
  </si>
  <si>
    <t>Manoj Bhide</t>
  </si>
  <si>
    <t>Nancy Pastor</t>
  </si>
  <si>
    <t>Omar Shaikh</t>
  </si>
  <si>
    <t>Preetam Chavla</t>
  </si>
  <si>
    <t>Ram Vihaan</t>
  </si>
  <si>
    <t>Tirth Chobe</t>
  </si>
  <si>
    <t>Umesh Bajrang</t>
  </si>
  <si>
    <t>Company Name:</t>
  </si>
  <si>
    <t>Address:</t>
  </si>
  <si>
    <t>AS2101</t>
  </si>
  <si>
    <t>AS2102</t>
  </si>
  <si>
    <t>AS2103</t>
  </si>
  <si>
    <t>AS2104</t>
  </si>
  <si>
    <t>AS2105</t>
  </si>
  <si>
    <t>AS2106</t>
  </si>
  <si>
    <t>AS2107</t>
  </si>
  <si>
    <t>AS2108</t>
  </si>
  <si>
    <t>AS2109</t>
  </si>
  <si>
    <t>AS2110</t>
  </si>
  <si>
    <t>AS2111</t>
  </si>
  <si>
    <t>AS2112</t>
  </si>
  <si>
    <t>AS2113</t>
  </si>
  <si>
    <t>AS2114</t>
  </si>
  <si>
    <t>AS2115</t>
  </si>
  <si>
    <t>AS2116</t>
  </si>
  <si>
    <t>AS2117</t>
  </si>
  <si>
    <t>AS2118</t>
  </si>
  <si>
    <t>AS2119</t>
  </si>
  <si>
    <t>AS2120</t>
  </si>
  <si>
    <t>Office Admin</t>
  </si>
  <si>
    <t>Jr. Accountant</t>
  </si>
  <si>
    <t>Sr. Accountant</t>
  </si>
  <si>
    <t>Manager</t>
  </si>
  <si>
    <t>Delivery Boy</t>
  </si>
  <si>
    <t>Peon</t>
  </si>
  <si>
    <t>Developer</t>
  </si>
  <si>
    <t>Graphic Designer</t>
  </si>
  <si>
    <t>Sr. Developer</t>
  </si>
  <si>
    <t>Total Salary Amount</t>
  </si>
  <si>
    <t>AS2121</t>
  </si>
  <si>
    <t>AS2122</t>
  </si>
  <si>
    <t>AS2123</t>
  </si>
  <si>
    <t>AS2124</t>
  </si>
  <si>
    <t>AS2125</t>
  </si>
  <si>
    <t>Designation:</t>
  </si>
  <si>
    <t>HR Head</t>
  </si>
  <si>
    <t>VV</t>
  </si>
  <si>
    <t>WW</t>
  </si>
  <si>
    <t>XX</t>
  </si>
  <si>
    <t>YY</t>
  </si>
  <si>
    <t>ZZ</t>
  </si>
  <si>
    <t>QQ</t>
  </si>
  <si>
    <t>AS2126</t>
  </si>
  <si>
    <t xml:space="preserve">Days Payable </t>
  </si>
  <si>
    <t>House Rent Allowance</t>
  </si>
  <si>
    <t>Leave Taken</t>
  </si>
  <si>
    <t>Metro</t>
  </si>
  <si>
    <t>Non-Metro</t>
  </si>
  <si>
    <t>Conveyance Allowance</t>
  </si>
  <si>
    <t>Medical Allowance</t>
  </si>
  <si>
    <t>Special Allowance</t>
  </si>
  <si>
    <t>Med. Allow. Actual</t>
  </si>
  <si>
    <t>Conv. Allow. Actual</t>
  </si>
  <si>
    <t>Spl. Allow. Actual</t>
  </si>
  <si>
    <t>Gross Salary</t>
  </si>
  <si>
    <t>Working Days:</t>
  </si>
  <si>
    <t>Location</t>
  </si>
  <si>
    <t>TDS</t>
  </si>
  <si>
    <t>Professional Tax</t>
  </si>
  <si>
    <t>Advance</t>
  </si>
  <si>
    <t>Gender</t>
  </si>
  <si>
    <t>Bonus</t>
  </si>
  <si>
    <t>Total Deductions</t>
  </si>
  <si>
    <t>Total Allowances</t>
  </si>
  <si>
    <t>TDS Rate</t>
  </si>
  <si>
    <t>Profess-ional Tax</t>
  </si>
  <si>
    <t>AB</t>
  </si>
  <si>
    <t>AA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</si>
  <si>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</si>
  <si>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</si>
  <si>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</si>
  <si>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</si>
  <si>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</si>
  <si>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</si>
  <si>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</si>
  <si>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</si>
  <si>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</si>
  <si>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</si>
  <si>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</si>
  <si>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</si>
  <si>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</si>
  <si>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</si>
  <si>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</si>
  <si>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</si>
  <si>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AT</t>
  </si>
  <si>
    <t>AU</t>
  </si>
  <si>
    <t>AV</t>
  </si>
  <si>
    <t>AS</t>
  </si>
  <si>
    <t>AW</t>
  </si>
  <si>
    <t>AX</t>
  </si>
  <si>
    <t>AS2127</t>
  </si>
  <si>
    <t>AS2128</t>
  </si>
  <si>
    <t>AS2129</t>
  </si>
  <si>
    <t>AS2130</t>
  </si>
  <si>
    <t>AS2131</t>
  </si>
  <si>
    <t>AS2132</t>
  </si>
  <si>
    <t>AS2133</t>
  </si>
  <si>
    <t>AS2134</t>
  </si>
  <si>
    <t>AS2135</t>
  </si>
  <si>
    <t>AS2136</t>
  </si>
  <si>
    <t>AS2137</t>
  </si>
  <si>
    <t>AS2138</t>
  </si>
  <si>
    <t>AS2139</t>
  </si>
  <si>
    <t>AS2140</t>
  </si>
  <si>
    <t>AS2141</t>
  </si>
  <si>
    <t>AS2142</t>
  </si>
  <si>
    <t>AS2143</t>
  </si>
  <si>
    <t>AS2144</t>
  </si>
  <si>
    <t>AS2145</t>
  </si>
  <si>
    <t>AS2146</t>
  </si>
  <si>
    <t>AS2147</t>
  </si>
  <si>
    <t>AS2148</t>
  </si>
  <si>
    <t>AS2149</t>
  </si>
  <si>
    <t>AS2150</t>
  </si>
  <si>
    <t>Company Name</t>
  </si>
  <si>
    <t>Company Address</t>
  </si>
  <si>
    <t>Prepared By:</t>
  </si>
  <si>
    <t>Approved By:</t>
  </si>
  <si>
    <t>Employee Information</t>
  </si>
  <si>
    <t>Additional Information</t>
  </si>
  <si>
    <t>Bank Name</t>
  </si>
  <si>
    <t>Branch</t>
  </si>
  <si>
    <t>Account No:</t>
  </si>
  <si>
    <t>Bank Account Number</t>
  </si>
  <si>
    <t>ABC Bank 1</t>
  </si>
  <si>
    <t>ABC Bank 2</t>
  </si>
  <si>
    <t>ABC Bank 3</t>
  </si>
  <si>
    <t>ABC Bank 4</t>
  </si>
  <si>
    <t>ABC Bank 5</t>
  </si>
  <si>
    <t>ABC Bank 6</t>
  </si>
  <si>
    <t>ABC Bank 7</t>
  </si>
  <si>
    <t>ABC Bank 8</t>
  </si>
  <si>
    <t>ABC Bank 9</t>
  </si>
  <si>
    <t>ABC Bank 10</t>
  </si>
  <si>
    <t>ABC Bank 11</t>
  </si>
  <si>
    <t>ABC Bank 12</t>
  </si>
  <si>
    <t>ABC Bank 13</t>
  </si>
  <si>
    <t>ABC Bank 14</t>
  </si>
  <si>
    <t>ABC Bank 15</t>
  </si>
  <si>
    <t>ABC Bank 16</t>
  </si>
  <si>
    <t>ABC Bank 17</t>
  </si>
  <si>
    <t>ABC Bank 18</t>
  </si>
  <si>
    <t>ABC Bank 19</t>
  </si>
  <si>
    <t>ABC Bank 20</t>
  </si>
  <si>
    <t>ABC Bank 21</t>
  </si>
  <si>
    <t>ABC Bank 22</t>
  </si>
  <si>
    <t>ABC Bank 23</t>
  </si>
  <si>
    <t>ABC Bank 24</t>
  </si>
  <si>
    <t>ABC Bank 25</t>
  </si>
  <si>
    <t>ABC Bank 26</t>
  </si>
  <si>
    <t>ABC Bank 27</t>
  </si>
  <si>
    <t>ABC Bank 28</t>
  </si>
  <si>
    <t>ABC Bank 29</t>
  </si>
  <si>
    <t>ABC Bank 30</t>
  </si>
  <si>
    <t>ABC Bank 31</t>
  </si>
  <si>
    <t>ABC Bank 32</t>
  </si>
  <si>
    <t>ABC Bank 33</t>
  </si>
  <si>
    <t>ABC Bank 34</t>
  </si>
  <si>
    <t>ABC Bank 35</t>
  </si>
  <si>
    <t>ABC Bank 36</t>
  </si>
  <si>
    <t>ABC Bank 37</t>
  </si>
  <si>
    <t>ABC Bank 38</t>
  </si>
  <si>
    <t>ABC Bank 39</t>
  </si>
  <si>
    <t>ABC Bank 40</t>
  </si>
  <si>
    <t>ABC Bank 41</t>
  </si>
  <si>
    <t>ABC Bank 42</t>
  </si>
  <si>
    <t>ABC Bank 43</t>
  </si>
  <si>
    <t>ABC Bank 44</t>
  </si>
  <si>
    <t>ABC Bank 45</t>
  </si>
  <si>
    <t>ABC Bank 46</t>
  </si>
  <si>
    <t>ABC Bank 47</t>
  </si>
  <si>
    <t>ABC Bank 48</t>
  </si>
  <si>
    <t>ABC Bank 49</t>
  </si>
  <si>
    <t>ABC Bank 50</t>
  </si>
  <si>
    <t>DEF Branch 1</t>
  </si>
  <si>
    <t>DEF Branch 2</t>
  </si>
  <si>
    <t>DEF Branch 3</t>
  </si>
  <si>
    <t>DEF Branch 4</t>
  </si>
  <si>
    <t>DEF Branch 5</t>
  </si>
  <si>
    <t>DEF Branch 6</t>
  </si>
  <si>
    <t>DEF Branch 7</t>
  </si>
  <si>
    <t>DEF Branch 8</t>
  </si>
  <si>
    <t>DEF Branch 9</t>
  </si>
  <si>
    <t>DEF Branch 10</t>
  </si>
  <si>
    <t>DEF Branch 11</t>
  </si>
  <si>
    <t>DEF Branch 12</t>
  </si>
  <si>
    <t>DEF Branch 13</t>
  </si>
  <si>
    <t>DEF Branch 14</t>
  </si>
  <si>
    <t>DEF Branch 15</t>
  </si>
  <si>
    <t>DEF Branch 16</t>
  </si>
  <si>
    <t>DEF Branch 17</t>
  </si>
  <si>
    <t>DEF Branch 18</t>
  </si>
  <si>
    <t>DEF Branch 19</t>
  </si>
  <si>
    <t>DEF Branch 20</t>
  </si>
  <si>
    <t>DEF Branch 21</t>
  </si>
  <si>
    <t>DEF Branch 22</t>
  </si>
  <si>
    <t>DEF Branch 23</t>
  </si>
  <si>
    <t>DEF Branch 24</t>
  </si>
  <si>
    <t>DEF Branch 25</t>
  </si>
  <si>
    <t>DEF Branch 26</t>
  </si>
  <si>
    <t>DEF Branch 27</t>
  </si>
  <si>
    <t>DEF Branch 28</t>
  </si>
  <si>
    <t>DEF Branch 29</t>
  </si>
  <si>
    <t>DEF Branch 30</t>
  </si>
  <si>
    <t>DEF Branch 31</t>
  </si>
  <si>
    <t>DEF Branch 32</t>
  </si>
  <si>
    <t>DEF Branch 33</t>
  </si>
  <si>
    <t>DEF Branch 34</t>
  </si>
  <si>
    <t>DEF Branch 35</t>
  </si>
  <si>
    <t>DEF Branch 36</t>
  </si>
  <si>
    <t>DEF Branch 37</t>
  </si>
  <si>
    <t>DEF Branch 38</t>
  </si>
  <si>
    <t>DEF Branch 39</t>
  </si>
  <si>
    <t>DEF Branch 40</t>
  </si>
  <si>
    <t>DEF Branch 41</t>
  </si>
  <si>
    <t>DEF Branch 42</t>
  </si>
  <si>
    <t>DEF Branch 43</t>
  </si>
  <si>
    <t>DEF Branch 44</t>
  </si>
  <si>
    <t>DEF Branch 45</t>
  </si>
  <si>
    <t>DEF Branch 46</t>
  </si>
  <si>
    <t>DEF Branch 47</t>
  </si>
  <si>
    <t>DEF Branch 48</t>
  </si>
  <si>
    <t>DEF Branch 49</t>
  </si>
  <si>
    <t>DEF Branch 50</t>
  </si>
  <si>
    <t>Employee Attendance</t>
  </si>
  <si>
    <t>Salary Calculations</t>
  </si>
  <si>
    <t>Cost To Company - CTC</t>
  </si>
  <si>
    <t>Additional Perks</t>
  </si>
  <si>
    <t>Bank Name:</t>
  </si>
  <si>
    <t>Name:</t>
  </si>
  <si>
    <t>UID:</t>
  </si>
  <si>
    <t>Department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</si>
  <si>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</si>
  <si>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</si>
  <si>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</si>
  <si>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</si>
  <si>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</si>
  <si>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</si>
  <si>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</si>
  <si>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</si>
  <si>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</si>
  <si>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</si>
  <si>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</si>
  <si>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</si>
  <si>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</si>
  <si>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</si>
  <si>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</si>
  <si>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</si>
  <si>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</si>
  <si>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</si>
  <si>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</si>
  <si>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</si>
  <si>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Department:</t>
  </si>
  <si>
    <t>Leave Allowed:</t>
  </si>
  <si>
    <t>Leave Taken:</t>
  </si>
  <si>
    <t>Payable Days:</t>
  </si>
  <si>
    <t>Salary Transfered To:</t>
  </si>
  <si>
    <t>Branch Name:</t>
  </si>
  <si>
    <t>Net Payable Salary</t>
  </si>
  <si>
    <r>
      <t>For Customization please send email to</t>
    </r>
    <r>
      <rPr>
        <b/>
        <sz val="11"/>
        <color rgb="FFFF0000"/>
        <rFont val="Calibri"/>
        <family val="2"/>
        <scheme val="minor"/>
      </rPr>
      <t xml:space="preserve"> info@msofficegeek.com</t>
    </r>
  </si>
  <si>
    <t>Total Allowance</t>
  </si>
  <si>
    <t>Amount in Words:</t>
  </si>
  <si>
    <t>March</t>
  </si>
  <si>
    <t>February</t>
  </si>
  <si>
    <t>April</t>
  </si>
  <si>
    <t>May</t>
  </si>
  <si>
    <t>June</t>
  </si>
  <si>
    <t>August</t>
  </si>
  <si>
    <t>July</t>
  </si>
  <si>
    <t>September</t>
  </si>
  <si>
    <t>October</t>
  </si>
  <si>
    <t>December</t>
  </si>
  <si>
    <t>Month</t>
  </si>
  <si>
    <t>EPF</t>
  </si>
  <si>
    <t>Employee Attendance Sheet</t>
  </si>
  <si>
    <t>Novemeber</t>
  </si>
  <si>
    <t>Year</t>
  </si>
  <si>
    <t>Date</t>
  </si>
  <si>
    <t>Attendance</t>
  </si>
  <si>
    <t>Type of Day</t>
  </si>
  <si>
    <t>Emp. ID</t>
  </si>
  <si>
    <t>Presence</t>
  </si>
  <si>
    <t>Leave</t>
  </si>
  <si>
    <t>Allowed</t>
  </si>
  <si>
    <t>Days Payable</t>
  </si>
  <si>
    <t>Daily Attendance</t>
  </si>
  <si>
    <t>Working Days</t>
  </si>
  <si>
    <t>Allowed Leaves</t>
  </si>
  <si>
    <t>Basic Salary</t>
  </si>
  <si>
    <t>General information</t>
  </si>
  <si>
    <t>Programming</t>
  </si>
  <si>
    <t>General Inforamtion</t>
  </si>
  <si>
    <t>CTC</t>
  </si>
  <si>
    <t>Special Allow</t>
  </si>
  <si>
    <t>Salary Advance</t>
  </si>
  <si>
    <t>p</t>
  </si>
  <si>
    <t>Salary Sheet With Attendance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</si>
</sst>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₹&quot;\ #,##0;&quot;₹&quot;\ \-#,##0"/>
    <numFmt numFmtId="164" formatCode="_ &quot;₹&quot;\ * #,##0_ ;_ &quot;₹&quot;\ * \-#,##0_ ;_ &quot;₹&quot;\ * &quot;-&quot;??_ ;_ @_ 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b/>
      <sz val="35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3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30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8">
    <xf numFmtId="0" fontId="0" fillId="0" borderId="0" xfId="0"/>
    <xf numFmtId="0" fontId="0" fillId="0" borderId="0" xfId="0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0" fontId="4" fillId="2" borderId="14" xfId="0" applyFont="1" applyFill="1" applyBorder="1" applyAlignment="1">
      <alignment vertical="center"/>
    </xf>
    <xf numFmtId="164" fontId="2" fillId="4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0" fillId="0" borderId="10" xfId="0" applyBorder="1" applyAlignment="1">
      <alignment horizontal="center" vertical="center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19" xfId="0" applyBorder="1" applyAlignment="1">
      <alignment vertical="center"/>
    </xf>
    <xf numFmtId="0" fontId="0" fillId="0" borderId="10" xfId="0" applyBorder="1" applyAlignment="1">
      <alignment vertical="center"/>
    </xf>
    <xf numFmtId="0" fontId="2" fillId="0" borderId="17" xfId="0" applyFont="1" applyBorder="1" applyAlignment="1">
      <alignment horizontal="right" vertical="center"/>
    </xf>
    <xf numFmtId="0" fontId="2" fillId="0" borderId="19" xfId="0" applyFont="1" applyBorder="1" applyAlignment="1">
      <alignment horizontal="right" vertical="center"/>
    </xf>
    <xf numFmtId="0" fontId="2" fillId="0" borderId="26" xfId="0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27" xfId="0" applyFont="1" applyBorder="1" applyAlignment="1">
      <alignment horizontal="right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right"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right" vertical="center"/>
    </xf>
    <xf numFmtId="0" fontId="2" fillId="2" borderId="24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2" fillId="0" borderId="0" xfId="0" applyFont="1" applyAlignment="1">
      <alignment horizontal="right" vertical="center"/>
    </xf>
    <xf numFmtId="0" fontId="0" fillId="0" borderId="28" xfId="0" applyBorder="1" applyAlignment="1">
      <alignment vertical="center"/>
    </xf>
    <xf numFmtId="0" fontId="0" fillId="0" borderId="27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7" fillId="2" borderId="23" xfId="0" applyFont="1" applyFill="1" applyBorder="1" applyAlignment="1">
      <alignment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2" fillId="0" borderId="10" xfId="0" applyFont="1" applyBorder="1" applyAlignment="1">
      <alignment horizontal="right" vertical="center"/>
    </xf>
    <xf numFmtId="0" fontId="0" fillId="0" borderId="0" xfId="0" applyAlignment="1">
      <alignment horizontal="center" vertical="center" wrapText="1"/>
    </xf>
    <xf numFmtId="164" fontId="2" fillId="0" borderId="10" xfId="0" applyNumberFormat="1" applyFont="1" applyBorder="1" applyAlignment="1">
      <alignment vertical="center"/>
    </xf>
    <xf numFmtId="164" fontId="2" fillId="0" borderId="20" xfId="0" applyNumberFormat="1" applyFont="1" applyBorder="1" applyAlignment="1">
      <alignment vertical="center"/>
    </xf>
    <xf numFmtId="5" fontId="0" fillId="4" borderId="2" xfId="0" applyNumberFormat="1" applyFill="1" applyBorder="1" applyAlignment="1">
      <alignment horizontal="center" vertical="center"/>
    </xf>
    <xf numFmtId="5" fontId="0" fillId="2" borderId="2" xfId="0" applyNumberFormat="1" applyFill="1" applyBorder="1" applyAlignment="1">
      <alignment horizontal="center" vertical="center"/>
    </xf>
    <xf numFmtId="5" fontId="2" fillId="4" borderId="2" xfId="0" applyNumberFormat="1" applyFont="1" applyFill="1" applyBorder="1" applyAlignment="1">
      <alignment horizontal="center" vertical="center"/>
    </xf>
    <xf numFmtId="9" fontId="0" fillId="4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2" fillId="4" borderId="2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textRotation="90"/>
    </xf>
    <xf numFmtId="0" fontId="0" fillId="4" borderId="1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left" vertical="center" indent="2"/>
    </xf>
    <xf numFmtId="0" fontId="0" fillId="4" borderId="5" xfId="0" applyFill="1" applyBorder="1" applyAlignment="1">
      <alignment horizontal="left" vertical="center" indent="2"/>
    </xf>
    <xf numFmtId="0" fontId="2" fillId="4" borderId="12" xfId="0" applyFont="1" applyFill="1" applyBorder="1" applyAlignment="1" applyProtection="1">
      <alignment horizontal="center" vertical="center" wrapText="1"/>
      <protection locked="0"/>
    </xf>
    <xf numFmtId="0" fontId="2" fillId="4" borderId="12" xfId="0" applyFont="1" applyFill="1" applyBorder="1" applyAlignment="1" applyProtection="1">
      <alignment horizontal="center" vertical="center"/>
      <protection locked="0"/>
    </xf>
    <xf numFmtId="0" fontId="2" fillId="4" borderId="7" xfId="0" applyFont="1" applyFill="1" applyBorder="1" applyAlignment="1" applyProtection="1">
      <alignment horizontal="center" vertical="center"/>
      <protection locked="0"/>
    </xf>
    <xf numFmtId="0" fontId="2" fillId="4" borderId="12" xfId="0" applyFont="1" applyFill="1" applyBorder="1" applyAlignment="1" applyProtection="1">
      <alignment horizontal="center" vertical="center" textRotation="90"/>
      <protection locked="0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5" fontId="0" fillId="4" borderId="2" xfId="0" applyNumberFormat="1" applyFill="1" applyBorder="1" applyAlignment="1" applyProtection="1">
      <alignment horizontal="center" vertical="center"/>
      <protection locked="0"/>
    </xf>
    <xf numFmtId="9" fontId="0" fillId="4" borderId="2" xfId="0" applyNumberFormat="1" applyFill="1" applyBorder="1" applyAlignment="1" applyProtection="1">
      <alignment horizontal="center" vertical="center"/>
      <protection locked="0"/>
    </xf>
    <xf numFmtId="5" fontId="2" fillId="4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 wrapText="1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4" borderId="16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>
      <alignment horizontal="center" vertical="center" textRotation="90" wrapText="1"/>
    </xf>
    <xf numFmtId="0" fontId="12" fillId="4" borderId="2" xfId="0" applyFont="1" applyFill="1" applyBorder="1" applyAlignment="1">
      <alignment horizontal="center" vertical="center"/>
    </xf>
    <xf numFmtId="0" fontId="0" fillId="4" borderId="2" xfId="0" applyFill="1" applyBorder="1" applyAlignment="1" applyProtection="1">
      <alignment vertical="center"/>
      <protection locked="0"/>
    </xf>
    <xf numFmtId="0" fontId="12" fillId="4" borderId="2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>
      <alignment vertical="center"/>
    </xf>
    <xf numFmtId="0" fontId="13" fillId="4" borderId="2" xfId="0" applyFont="1" applyFill="1" applyBorder="1" applyAlignment="1">
      <alignment horizontal="center" vertical="center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9" fontId="0" fillId="2" borderId="2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 indent="2"/>
    </xf>
    <xf numFmtId="0" fontId="0" fillId="4" borderId="9" xfId="0" applyFill="1" applyBorder="1" applyAlignment="1">
      <alignment horizontal="left" vertical="center" indent="2"/>
    </xf>
    <xf numFmtId="1" fontId="1" fillId="2" borderId="2" xfId="0" applyNumberFormat="1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0" borderId="14" xfId="0" applyBorder="1"/>
    <xf numFmtId="0" fontId="0" fillId="0" borderId="7" xfId="0" applyBorder="1"/>
    <xf numFmtId="0" fontId="0" fillId="0" borderId="8" xfId="0" applyBorder="1"/>
    <xf numFmtId="0" fontId="0" fillId="0" borderId="15" xfId="0" applyBorder="1"/>
    <xf numFmtId="0" fontId="0" fillId="0" borderId="9" xfId="0" applyBorder="1"/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1" fontId="1" fillId="2" borderId="8" xfId="0" applyNumberFormat="1" applyFont="1" applyFill="1" applyBorder="1" applyAlignment="1">
      <alignment horizontal="center"/>
    </xf>
    <xf numFmtId="1" fontId="1" fillId="2" borderId="9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right" vertical="center"/>
    </xf>
    <xf numFmtId="0" fontId="4" fillId="2" borderId="12" xfId="0" applyFont="1" applyFill="1" applyBorder="1" applyAlignment="1">
      <alignment horizontal="right" vertical="center"/>
    </xf>
    <xf numFmtId="0" fontId="5" fillId="2" borderId="15" xfId="1" applyFont="1" applyFill="1" applyBorder="1" applyAlignment="1" applyProtection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22" xfId="0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0" fillId="0" borderId="2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3"/>
    </xf>
    <xf numFmtId="0" fontId="2" fillId="0" borderId="1" xfId="0" applyFont="1" applyBorder="1" applyAlignment="1">
      <alignment horizontal="left" vertical="center" indent="1"/>
    </xf>
    <xf numFmtId="0" fontId="2" fillId="0" borderId="23" xfId="0" applyFont="1" applyBorder="1" applyAlignment="1">
      <alignment horizontal="left" vertical="center" indent="3"/>
    </xf>
    <xf numFmtId="0" fontId="2" fillId="0" borderId="25" xfId="0" applyFont="1" applyBorder="1" applyAlignment="1">
      <alignment horizontal="left" vertical="center" indent="3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2" borderId="23" xfId="0" applyFont="1" applyFill="1" applyBorder="1" applyAlignment="1">
      <alignment horizontal="left" vertical="center"/>
    </xf>
    <xf numFmtId="0" fontId="7" fillId="2" borderId="24" xfId="0" applyFont="1" applyFill="1" applyBorder="1" applyAlignment="1">
      <alignment horizontal="left" vertical="center"/>
    </xf>
    <xf numFmtId="0" fontId="7" fillId="2" borderId="25" xfId="0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ill>
        <patternFill>
          <fgColor auto="1"/>
          <bgColor theme="9" tint="0.39994506668294322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</dxfs>
  <tableStyles count="0" defaultTableStyle="TableStyleMedium9" defaultPivotStyle="PivotStyleLight16"/>
  <colors>
    <mruColors>
      <color rgb="FFF575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0</xdr:row>
          <xdr:rowOff>60960</xdr:rowOff>
        </xdr:from>
        <xdr:to>
          <xdr:col>3</xdr:col>
          <xdr:colOff>15240</xdr:colOff>
          <xdr:row>1</xdr:row>
          <xdr:rowOff>182880</xdr:rowOff>
        </xdr:to>
        <xdr:sp macro="" textlink="">
          <xdr:nvSpPr>
            <xdr:cNvPr id="11268" name="CommandButton1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167640</xdr:colOff>
          <xdr:row>1</xdr:row>
          <xdr:rowOff>327660</xdr:rowOff>
        </xdr:from>
        <xdr:to>
          <xdr:col>10</xdr:col>
          <xdr:colOff>472440</xdr:colOff>
          <xdr:row>2</xdr:row>
          <xdr:rowOff>228600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</xdr:row>
          <xdr:rowOff>144780</xdr:rowOff>
        </xdr:from>
        <xdr:to>
          <xdr:col>11</xdr:col>
          <xdr:colOff>60960</xdr:colOff>
          <xdr:row>5</xdr:row>
          <xdr:rowOff>137160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AN80"/>
  <sheetViews>
    <sheetView workbookViewId="0">
      <pane xSplit="4" ySplit="7" topLeftCell="E15" activePane="bottomRight" state="frozen"/>
      <selection pane="topRight" activeCell="E1" sqref="E1"/>
      <selection pane="bottomLeft" activeCell="A9" sqref="A9"/>
      <selection pane="bottomRight" activeCell="J10" sqref="J10"/>
    </sheetView>
  </sheetViews>
  <sheetFormatPr defaultColWidth="9.109375" defaultRowHeight="14.4" x14ac:dyDescent="0.3"/>
  <cols>
    <col min="1" max="1" width="3.109375" style="59" customWidth="1"/>
    <col min="2" max="2" width="8.5546875" style="59" customWidth="1"/>
    <col min="3" max="3" width="9.88671875" style="59" customWidth="1"/>
    <col min="4" max="4" width="11.33203125" style="59" bestFit="1" customWidth="1"/>
    <col min="5" max="35" width="2.88671875" style="59" customWidth="1"/>
    <col min="36" max="36" width="8.88671875"/>
    <col min="37" max="37" width="6.109375" style="59" bestFit="1" customWidth="1"/>
    <col min="38" max="38" width="8.44140625" style="59" customWidth="1"/>
    <col min="39" max="39" width="8" style="59" bestFit="1" customWidth="1"/>
    <col min="40" max="40" width="2.88671875" style="59" customWidth="1"/>
    <col min="41" max="16384" width="9.109375" style="59"/>
  </cols>
  <sheetData>
    <row r="1" spans="1:40" x14ac:dyDescent="0.3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40" ht="47.25" customHeight="1" x14ac:dyDescent="0.3">
      <c r="A2" s="10"/>
      <c r="B2" s="100"/>
      <c r="C2" s="100"/>
      <c r="D2" s="101" t="s">
        <v>306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3"/>
      <c r="AN2" s="10"/>
    </row>
    <row r="3" spans="1:40" hidden="1" x14ac:dyDescent="0.3">
      <c r="A3" s="10"/>
      <c r="C3" s="59">
        <f>HLOOKUP(C6,$D$3:$O$4,2,0)</f>
        <v>1</v>
      </c>
      <c r="D3" s="60" t="s">
        <v>7</v>
      </c>
      <c r="E3" s="60" t="s">
        <v>295</v>
      </c>
      <c r="F3" s="60" t="s">
        <v>294</v>
      </c>
      <c r="G3" s="60" t="s">
        <v>296</v>
      </c>
      <c r="H3" s="60" t="s">
        <v>297</v>
      </c>
      <c r="I3" s="60" t="s">
        <v>298</v>
      </c>
      <c r="J3" s="60" t="s">
        <v>300</v>
      </c>
      <c r="K3" s="60" t="s">
        <v>299</v>
      </c>
      <c r="L3" s="60" t="s">
        <v>301</v>
      </c>
      <c r="M3" s="60" t="s">
        <v>302</v>
      </c>
      <c r="N3" s="60" t="s">
        <v>307</v>
      </c>
      <c r="O3" s="60" t="s">
        <v>303</v>
      </c>
      <c r="AJ3" s="59"/>
      <c r="AN3" s="10"/>
    </row>
    <row r="4" spans="1:40" hidden="1" x14ac:dyDescent="0.3">
      <c r="A4" s="10"/>
      <c r="D4" s="61">
        <v>1</v>
      </c>
      <c r="E4" s="60">
        <v>2</v>
      </c>
      <c r="F4" s="60">
        <v>3</v>
      </c>
      <c r="G4" s="60">
        <v>4</v>
      </c>
      <c r="H4" s="60">
        <v>5</v>
      </c>
      <c r="I4" s="60">
        <v>6</v>
      </c>
      <c r="J4" s="60">
        <v>7</v>
      </c>
      <c r="K4" s="60">
        <v>8</v>
      </c>
      <c r="L4" s="60">
        <v>9</v>
      </c>
      <c r="M4" s="60">
        <v>10</v>
      </c>
      <c r="N4" s="60">
        <v>11</v>
      </c>
      <c r="O4" s="60">
        <v>12</v>
      </c>
      <c r="AJ4" s="59"/>
      <c r="AN4" s="10"/>
    </row>
    <row r="5" spans="1:40" x14ac:dyDescent="0.3">
      <c r="A5" s="10"/>
      <c r="B5" s="62" t="s">
        <v>308</v>
      </c>
      <c r="C5" s="95">
        <v>2023</v>
      </c>
      <c r="D5" s="9" t="s">
        <v>309</v>
      </c>
      <c r="E5" s="9">
        <v>1</v>
      </c>
      <c r="F5" s="9">
        <v>2</v>
      </c>
      <c r="G5" s="9">
        <v>3</v>
      </c>
      <c r="H5" s="9">
        <v>4</v>
      </c>
      <c r="I5" s="9">
        <v>5</v>
      </c>
      <c r="J5" s="9">
        <v>6</v>
      </c>
      <c r="K5" s="9">
        <v>7</v>
      </c>
      <c r="L5" s="9">
        <v>8</v>
      </c>
      <c r="M5" s="9">
        <v>9</v>
      </c>
      <c r="N5" s="9">
        <v>10</v>
      </c>
      <c r="O5" s="9">
        <v>11</v>
      </c>
      <c r="P5" s="9">
        <v>12</v>
      </c>
      <c r="Q5" s="9">
        <v>13</v>
      </c>
      <c r="R5" s="9">
        <v>14</v>
      </c>
      <c r="S5" s="9">
        <v>15</v>
      </c>
      <c r="T5" s="9">
        <v>16</v>
      </c>
      <c r="U5" s="9">
        <v>17</v>
      </c>
      <c r="V5" s="9">
        <v>18</v>
      </c>
      <c r="W5" s="9">
        <v>19</v>
      </c>
      <c r="X5" s="9">
        <v>20</v>
      </c>
      <c r="Y5" s="9">
        <v>21</v>
      </c>
      <c r="Z5" s="9">
        <v>22</v>
      </c>
      <c r="AA5" s="9">
        <v>23</v>
      </c>
      <c r="AB5" s="9">
        <v>24</v>
      </c>
      <c r="AC5" s="9">
        <v>25</v>
      </c>
      <c r="AD5" s="9">
        <v>26</v>
      </c>
      <c r="AE5" s="9">
        <v>27</v>
      </c>
      <c r="AF5" s="9">
        <v>28</v>
      </c>
      <c r="AG5" s="9">
        <v>29</v>
      </c>
      <c r="AH5" s="9">
        <v>30</v>
      </c>
      <c r="AI5" s="9">
        <v>31</v>
      </c>
      <c r="AJ5" s="104" t="s">
        <v>310</v>
      </c>
      <c r="AK5" s="105"/>
      <c r="AL5" s="105"/>
      <c r="AM5" s="106"/>
      <c r="AN5" s="10"/>
    </row>
    <row r="6" spans="1:40" x14ac:dyDescent="0.3">
      <c r="A6" s="10"/>
      <c r="B6" s="62" t="s">
        <v>304</v>
      </c>
      <c r="C6" s="94" t="s">
        <v>7</v>
      </c>
      <c r="D6" s="63" t="s">
        <v>311</v>
      </c>
      <c r="E6" s="9" t="str">
        <f>IF(E7="Sun","H","W")</f>
        <v>H</v>
      </c>
      <c r="F6" s="9" t="str">
        <f t="shared" ref="F6:AI6" si="0">IF(F7="Sun","H","W")</f>
        <v>W</v>
      </c>
      <c r="G6" s="9" t="str">
        <f t="shared" si="0"/>
        <v>W</v>
      </c>
      <c r="H6" s="9" t="str">
        <f t="shared" si="0"/>
        <v>W</v>
      </c>
      <c r="I6" s="9" t="str">
        <f t="shared" si="0"/>
        <v>W</v>
      </c>
      <c r="J6" s="9" t="str">
        <f t="shared" si="0"/>
        <v>W</v>
      </c>
      <c r="K6" s="9" t="str">
        <f t="shared" si="0"/>
        <v>W</v>
      </c>
      <c r="L6" s="9" t="str">
        <f t="shared" si="0"/>
        <v>H</v>
      </c>
      <c r="M6" s="9" t="str">
        <f t="shared" si="0"/>
        <v>W</v>
      </c>
      <c r="N6" s="9" t="str">
        <f t="shared" si="0"/>
        <v>W</v>
      </c>
      <c r="O6" s="9" t="str">
        <f t="shared" si="0"/>
        <v>W</v>
      </c>
      <c r="P6" s="9" t="str">
        <f t="shared" si="0"/>
        <v>W</v>
      </c>
      <c r="Q6" s="9" t="str">
        <f t="shared" si="0"/>
        <v>W</v>
      </c>
      <c r="R6" s="9" t="str">
        <f t="shared" si="0"/>
        <v>W</v>
      </c>
      <c r="S6" s="9" t="str">
        <f t="shared" si="0"/>
        <v>H</v>
      </c>
      <c r="T6" s="9" t="str">
        <f t="shared" si="0"/>
        <v>W</v>
      </c>
      <c r="U6" s="9" t="str">
        <f t="shared" si="0"/>
        <v>W</v>
      </c>
      <c r="V6" s="9" t="str">
        <f t="shared" si="0"/>
        <v>W</v>
      </c>
      <c r="W6" s="9" t="str">
        <f t="shared" si="0"/>
        <v>W</v>
      </c>
      <c r="X6" s="9" t="str">
        <f t="shared" si="0"/>
        <v>W</v>
      </c>
      <c r="Y6" s="9" t="str">
        <f t="shared" si="0"/>
        <v>W</v>
      </c>
      <c r="Z6" s="9" t="str">
        <f t="shared" si="0"/>
        <v>H</v>
      </c>
      <c r="AA6" s="9" t="str">
        <f t="shared" si="0"/>
        <v>W</v>
      </c>
      <c r="AB6" s="9" t="str">
        <f t="shared" si="0"/>
        <v>W</v>
      </c>
      <c r="AC6" s="9" t="str">
        <f t="shared" si="0"/>
        <v>W</v>
      </c>
      <c r="AD6" s="9" t="str">
        <f t="shared" si="0"/>
        <v>W</v>
      </c>
      <c r="AE6" s="9" t="str">
        <f t="shared" si="0"/>
        <v>W</v>
      </c>
      <c r="AF6" s="9" t="str">
        <f t="shared" si="0"/>
        <v>W</v>
      </c>
      <c r="AG6" s="9" t="str">
        <f t="shared" si="0"/>
        <v>H</v>
      </c>
      <c r="AH6" s="9" t="str">
        <f t="shared" si="0"/>
        <v>W</v>
      </c>
      <c r="AI6" s="9" t="str">
        <f t="shared" si="0"/>
        <v>W</v>
      </c>
      <c r="AJ6" s="107"/>
      <c r="AK6" s="108"/>
      <c r="AL6" s="108"/>
      <c r="AM6" s="109"/>
      <c r="AN6" s="10"/>
    </row>
    <row r="7" spans="1:40" ht="28.8" x14ac:dyDescent="0.3">
      <c r="A7" s="10"/>
      <c r="B7" s="9" t="s">
        <v>312</v>
      </c>
      <c r="C7" s="110" t="s">
        <v>0</v>
      </c>
      <c r="D7" s="111"/>
      <c r="E7" s="64" t="str">
        <f>IFERROR(TEXT(DATE($C$5,$C$3,E$5),"ddd"),"")</f>
        <v>Sun</v>
      </c>
      <c r="F7" s="64" t="str">
        <f t="shared" ref="F7:AI7" si="1">IFERROR(TEXT(DATE($C$5,$C$3,F$5),"ddd"),"")</f>
        <v>Mon</v>
      </c>
      <c r="G7" s="64" t="str">
        <f t="shared" si="1"/>
        <v>Tue</v>
      </c>
      <c r="H7" s="64" t="str">
        <f t="shared" si="1"/>
        <v>Wed</v>
      </c>
      <c r="I7" s="64" t="str">
        <f t="shared" si="1"/>
        <v>Thu</v>
      </c>
      <c r="J7" s="64" t="str">
        <f t="shared" si="1"/>
        <v>Fri</v>
      </c>
      <c r="K7" s="64" t="str">
        <f t="shared" si="1"/>
        <v>Sat</v>
      </c>
      <c r="L7" s="64" t="str">
        <f t="shared" si="1"/>
        <v>Sun</v>
      </c>
      <c r="M7" s="64" t="str">
        <f t="shared" si="1"/>
        <v>Mon</v>
      </c>
      <c r="N7" s="64" t="str">
        <f t="shared" si="1"/>
        <v>Tue</v>
      </c>
      <c r="O7" s="64" t="str">
        <f t="shared" si="1"/>
        <v>Wed</v>
      </c>
      <c r="P7" s="64" t="str">
        <f t="shared" si="1"/>
        <v>Thu</v>
      </c>
      <c r="Q7" s="64" t="str">
        <f t="shared" si="1"/>
        <v>Fri</v>
      </c>
      <c r="R7" s="64" t="str">
        <f t="shared" si="1"/>
        <v>Sat</v>
      </c>
      <c r="S7" s="64" t="str">
        <f t="shared" si="1"/>
        <v>Sun</v>
      </c>
      <c r="T7" s="64" t="str">
        <f t="shared" si="1"/>
        <v>Mon</v>
      </c>
      <c r="U7" s="64" t="str">
        <f t="shared" si="1"/>
        <v>Tue</v>
      </c>
      <c r="V7" s="64" t="str">
        <f t="shared" si="1"/>
        <v>Wed</v>
      </c>
      <c r="W7" s="64" t="str">
        <f t="shared" si="1"/>
        <v>Thu</v>
      </c>
      <c r="X7" s="64" t="str">
        <f t="shared" si="1"/>
        <v>Fri</v>
      </c>
      <c r="Y7" s="64" t="str">
        <f t="shared" si="1"/>
        <v>Sat</v>
      </c>
      <c r="Z7" s="64" t="str">
        <f t="shared" si="1"/>
        <v>Sun</v>
      </c>
      <c r="AA7" s="64" t="str">
        <f t="shared" si="1"/>
        <v>Mon</v>
      </c>
      <c r="AB7" s="64" t="str">
        <f t="shared" si="1"/>
        <v>Tue</v>
      </c>
      <c r="AC7" s="64" t="str">
        <f t="shared" si="1"/>
        <v>Wed</v>
      </c>
      <c r="AD7" s="64" t="str">
        <f t="shared" si="1"/>
        <v>Thu</v>
      </c>
      <c r="AE7" s="64" t="str">
        <f t="shared" si="1"/>
        <v>Fri</v>
      </c>
      <c r="AF7" s="64" t="str">
        <f t="shared" si="1"/>
        <v>Sat</v>
      </c>
      <c r="AG7" s="64" t="str">
        <f t="shared" si="1"/>
        <v>Sun</v>
      </c>
      <c r="AH7" s="64" t="str">
        <f t="shared" si="1"/>
        <v>Mon</v>
      </c>
      <c r="AI7" s="64" t="str">
        <f t="shared" si="1"/>
        <v>Tue</v>
      </c>
      <c r="AJ7" s="15" t="s">
        <v>313</v>
      </c>
      <c r="AK7" s="9" t="s">
        <v>314</v>
      </c>
      <c r="AL7" s="9" t="s">
        <v>315</v>
      </c>
      <c r="AM7" s="15" t="s">
        <v>316</v>
      </c>
      <c r="AN7" s="10"/>
    </row>
    <row r="8" spans="1:40" x14ac:dyDescent="0.3">
      <c r="A8" s="10"/>
      <c r="B8" s="65" t="str">
        <f>'Salary Calculations'!C7</f>
        <v>AS2101</v>
      </c>
      <c r="C8" s="98" t="str">
        <f>'Salary Calculations'!D7</f>
        <v>Astha Puri</v>
      </c>
      <c r="D8" s="99"/>
      <c r="E8" s="66" t="s">
        <v>327</v>
      </c>
      <c r="F8" s="66" t="s">
        <v>327</v>
      </c>
      <c r="G8" s="66"/>
      <c r="H8" s="66" t="s">
        <v>327</v>
      </c>
      <c r="I8" s="66" t="s">
        <v>327</v>
      </c>
      <c r="J8" s="66" t="s">
        <v>327</v>
      </c>
      <c r="K8" s="66" t="s">
        <v>327</v>
      </c>
      <c r="L8" s="66" t="s">
        <v>327</v>
      </c>
      <c r="M8" s="66" t="s">
        <v>327</v>
      </c>
      <c r="N8" s="66"/>
      <c r="O8" s="66" t="s">
        <v>327</v>
      </c>
      <c r="P8" s="66" t="s">
        <v>327</v>
      </c>
      <c r="Q8" s="66" t="s">
        <v>327</v>
      </c>
      <c r="R8" s="66" t="s">
        <v>327</v>
      </c>
      <c r="S8" s="66" t="s">
        <v>327</v>
      </c>
      <c r="T8" s="66" t="s">
        <v>327</v>
      </c>
      <c r="U8" s="66"/>
      <c r="V8" s="66" t="s">
        <v>327</v>
      </c>
      <c r="W8" s="66" t="s">
        <v>327</v>
      </c>
      <c r="X8" s="66" t="s">
        <v>327</v>
      </c>
      <c r="Y8" s="66" t="s">
        <v>327</v>
      </c>
      <c r="Z8" s="66" t="s">
        <v>327</v>
      </c>
      <c r="AA8" s="66" t="s">
        <v>327</v>
      </c>
      <c r="AB8" s="66"/>
      <c r="AC8" s="66" t="s">
        <v>327</v>
      </c>
      <c r="AD8" s="66" t="s">
        <v>327</v>
      </c>
      <c r="AE8" s="66" t="s">
        <v>327</v>
      </c>
      <c r="AF8" s="66" t="s">
        <v>327</v>
      </c>
      <c r="AG8" s="66" t="s">
        <v>327</v>
      </c>
      <c r="AH8" s="66" t="s">
        <v>327</v>
      </c>
      <c r="AI8" s="66"/>
      <c r="AJ8" s="67">
        <f>COUNTIF(E8:AI8,"P")</f>
        <v>26</v>
      </c>
      <c r="AK8" s="67">
        <f>COUNTIF(E8:AI8,"L")</f>
        <v>0</v>
      </c>
      <c r="AL8" s="96">
        <v>2</v>
      </c>
      <c r="AM8" s="67">
        <f>IF(((((AJ8+AK8)-AK8+AL8))&gt;(AJ8+AK8)),(AJ8+AK8),(AJ8+AK8)-AK8+AL8)</f>
        <v>26</v>
      </c>
      <c r="AN8" s="10"/>
    </row>
    <row r="9" spans="1:40" x14ac:dyDescent="0.3">
      <c r="A9" s="10"/>
      <c r="B9" s="65" t="str">
        <f>'Salary Calculations'!C8</f>
        <v>AS2102</v>
      </c>
      <c r="C9" s="98" t="str">
        <f>'Salary Calculations'!D8</f>
        <v>Bijal Pande</v>
      </c>
      <c r="D9" s="99"/>
      <c r="E9" s="66" t="s">
        <v>327</v>
      </c>
      <c r="F9" s="66" t="s">
        <v>327</v>
      </c>
      <c r="G9" s="66"/>
      <c r="H9" s="66" t="s">
        <v>327</v>
      </c>
      <c r="I9" s="66" t="s">
        <v>327</v>
      </c>
      <c r="J9" s="66" t="s">
        <v>327</v>
      </c>
      <c r="K9" s="66" t="s">
        <v>327</v>
      </c>
      <c r="L9" s="66" t="s">
        <v>327</v>
      </c>
      <c r="M9" s="66" t="s">
        <v>327</v>
      </c>
      <c r="N9" s="66"/>
      <c r="O9" s="66" t="s">
        <v>327</v>
      </c>
      <c r="P9" s="66" t="s">
        <v>327</v>
      </c>
      <c r="Q9" s="66" t="s">
        <v>327</v>
      </c>
      <c r="R9" s="66" t="s">
        <v>327</v>
      </c>
      <c r="S9" s="66" t="s">
        <v>327</v>
      </c>
      <c r="T9" s="66" t="s">
        <v>327</v>
      </c>
      <c r="U9" s="66"/>
      <c r="V9" s="66" t="s">
        <v>327</v>
      </c>
      <c r="W9" s="66" t="s">
        <v>327</v>
      </c>
      <c r="X9" s="66" t="s">
        <v>327</v>
      </c>
      <c r="Y9" s="66" t="s">
        <v>327</v>
      </c>
      <c r="Z9" s="66" t="s">
        <v>327</v>
      </c>
      <c r="AA9" s="66" t="s">
        <v>327</v>
      </c>
      <c r="AB9" s="66"/>
      <c r="AC9" s="66" t="s">
        <v>327</v>
      </c>
      <c r="AD9" s="66" t="s">
        <v>327</v>
      </c>
      <c r="AE9" s="66" t="s">
        <v>327</v>
      </c>
      <c r="AF9" s="66" t="s">
        <v>327</v>
      </c>
      <c r="AG9" s="66" t="s">
        <v>327</v>
      </c>
      <c r="AH9" s="66" t="s">
        <v>327</v>
      </c>
      <c r="AI9" s="66"/>
      <c r="AJ9" s="67">
        <f>COUNTIF(E9:AI9,"P")</f>
        <v>26</v>
      </c>
      <c r="AK9" s="67">
        <f>COUNTIF(E9:AI9,"L")</f>
        <v>0</v>
      </c>
      <c r="AL9" s="96">
        <v>2</v>
      </c>
      <c r="AM9" s="67">
        <f t="shared" ref="AM9:AM57" si="2">IF(((((AJ9+AK9)-AK9+AL9))&gt;(AJ9+AK9)),(AJ9+AK9),(AJ9+AK9)-AK9+AL9)</f>
        <v>26</v>
      </c>
      <c r="AN9" s="10"/>
    </row>
    <row r="10" spans="1:40" x14ac:dyDescent="0.3">
      <c r="A10" s="10"/>
      <c r="B10" s="65" t="str">
        <f>'Salary Calculations'!C9</f>
        <v>AS2103</v>
      </c>
      <c r="C10" s="98" t="str">
        <f>'Salary Calculations'!D9</f>
        <v>Chirag Sharma</v>
      </c>
      <c r="D10" s="99"/>
      <c r="E10" s="66" t="s">
        <v>327</v>
      </c>
      <c r="F10" s="66" t="s">
        <v>327</v>
      </c>
      <c r="G10" s="66"/>
      <c r="H10" s="66" t="s">
        <v>327</v>
      </c>
      <c r="I10" s="66" t="s">
        <v>327</v>
      </c>
      <c r="J10" s="66" t="s">
        <v>327</v>
      </c>
      <c r="K10" s="66" t="s">
        <v>327</v>
      </c>
      <c r="L10" s="66" t="s">
        <v>327</v>
      </c>
      <c r="M10" s="66" t="s">
        <v>327</v>
      </c>
      <c r="N10" s="66"/>
      <c r="O10" s="66" t="s">
        <v>327</v>
      </c>
      <c r="P10" s="66" t="s">
        <v>327</v>
      </c>
      <c r="Q10" s="66" t="s">
        <v>327</v>
      </c>
      <c r="R10" s="66" t="s">
        <v>327</v>
      </c>
      <c r="S10" s="66" t="s">
        <v>327</v>
      </c>
      <c r="T10" s="66" t="s">
        <v>327</v>
      </c>
      <c r="U10" s="66"/>
      <c r="V10" s="66" t="s">
        <v>327</v>
      </c>
      <c r="W10" s="66" t="s">
        <v>327</v>
      </c>
      <c r="X10" s="66" t="s">
        <v>327</v>
      </c>
      <c r="Y10" s="66" t="s">
        <v>327</v>
      </c>
      <c r="Z10" s="66" t="s">
        <v>327</v>
      </c>
      <c r="AA10" s="66" t="s">
        <v>327</v>
      </c>
      <c r="AB10" s="66"/>
      <c r="AC10" s="66" t="s">
        <v>327</v>
      </c>
      <c r="AD10" s="66" t="s">
        <v>327</v>
      </c>
      <c r="AE10" s="66" t="s">
        <v>327</v>
      </c>
      <c r="AF10" s="66" t="s">
        <v>327</v>
      </c>
      <c r="AG10" s="66" t="s">
        <v>327</v>
      </c>
      <c r="AH10" s="66" t="s">
        <v>327</v>
      </c>
      <c r="AI10" s="66"/>
      <c r="AJ10" s="67">
        <f t="shared" ref="AJ10:AJ57" si="3">COUNTIF(E10:AI10,"P")</f>
        <v>26</v>
      </c>
      <c r="AK10" s="67">
        <f t="shared" ref="AK10:AK57" si="4">COUNTIF(E10:AI10,"L")</f>
        <v>0</v>
      </c>
      <c r="AL10" s="96">
        <v>2</v>
      </c>
      <c r="AM10" s="67">
        <f t="shared" si="2"/>
        <v>26</v>
      </c>
      <c r="AN10" s="10"/>
    </row>
    <row r="11" spans="1:40" x14ac:dyDescent="0.3">
      <c r="A11" s="10"/>
      <c r="B11" s="65" t="str">
        <f>'Salary Calculations'!C10</f>
        <v>AS2104</v>
      </c>
      <c r="C11" s="98" t="str">
        <f>'Salary Calculations'!D10</f>
        <v>Divya Soni</v>
      </c>
      <c r="D11" s="99"/>
      <c r="E11" s="66" t="s">
        <v>327</v>
      </c>
      <c r="F11" s="66" t="s">
        <v>327</v>
      </c>
      <c r="G11" s="66"/>
      <c r="H11" s="66" t="s">
        <v>327</v>
      </c>
      <c r="I11" s="66" t="s">
        <v>327</v>
      </c>
      <c r="J11" s="66" t="s">
        <v>327</v>
      </c>
      <c r="K11" s="66" t="s">
        <v>327</v>
      </c>
      <c r="L11" s="66" t="s">
        <v>327</v>
      </c>
      <c r="M11" s="66" t="s">
        <v>327</v>
      </c>
      <c r="N11" s="66"/>
      <c r="O11" s="66" t="s">
        <v>327</v>
      </c>
      <c r="P11" s="66" t="s">
        <v>327</v>
      </c>
      <c r="Q11" s="66" t="s">
        <v>327</v>
      </c>
      <c r="R11" s="66" t="s">
        <v>327</v>
      </c>
      <c r="S11" s="66" t="s">
        <v>327</v>
      </c>
      <c r="T11" s="66" t="s">
        <v>327</v>
      </c>
      <c r="U11" s="66"/>
      <c r="V11" s="66" t="s">
        <v>327</v>
      </c>
      <c r="W11" s="66" t="s">
        <v>327</v>
      </c>
      <c r="X11" s="66" t="s">
        <v>327</v>
      </c>
      <c r="Y11" s="66" t="s">
        <v>327</v>
      </c>
      <c r="Z11" s="66" t="s">
        <v>327</v>
      </c>
      <c r="AA11" s="66" t="s">
        <v>327</v>
      </c>
      <c r="AB11" s="66"/>
      <c r="AC11" s="66" t="s">
        <v>327</v>
      </c>
      <c r="AD11" s="66" t="s">
        <v>327</v>
      </c>
      <c r="AE11" s="66" t="s">
        <v>327</v>
      </c>
      <c r="AF11" s="66" t="s">
        <v>327</v>
      </c>
      <c r="AG11" s="66" t="s">
        <v>327</v>
      </c>
      <c r="AH11" s="66" t="s">
        <v>327</v>
      </c>
      <c r="AI11" s="66"/>
      <c r="AJ11" s="67">
        <f t="shared" si="3"/>
        <v>26</v>
      </c>
      <c r="AK11" s="67">
        <f t="shared" si="4"/>
        <v>0</v>
      </c>
      <c r="AL11" s="96">
        <v>2</v>
      </c>
      <c r="AM11" s="67">
        <f t="shared" si="2"/>
        <v>26</v>
      </c>
      <c r="AN11" s="10"/>
    </row>
    <row r="12" spans="1:40" x14ac:dyDescent="0.3">
      <c r="A12" s="10"/>
      <c r="B12" s="65" t="str">
        <f>'Salary Calculations'!C11</f>
        <v>AS2105</v>
      </c>
      <c r="C12" s="98" t="str">
        <f>'Salary Calculations'!D11</f>
        <v>Erum Rastogi</v>
      </c>
      <c r="D12" s="99"/>
      <c r="E12" s="66" t="s">
        <v>327</v>
      </c>
      <c r="F12" s="66" t="s">
        <v>327</v>
      </c>
      <c r="G12" s="66"/>
      <c r="H12" s="66" t="s">
        <v>327</v>
      </c>
      <c r="I12" s="66" t="s">
        <v>327</v>
      </c>
      <c r="J12" s="66" t="s">
        <v>327</v>
      </c>
      <c r="K12" s="66" t="s">
        <v>327</v>
      </c>
      <c r="L12" s="66" t="s">
        <v>327</v>
      </c>
      <c r="M12" s="66" t="s">
        <v>327</v>
      </c>
      <c r="N12" s="66"/>
      <c r="O12" s="66" t="s">
        <v>327</v>
      </c>
      <c r="P12" s="66" t="s">
        <v>327</v>
      </c>
      <c r="Q12" s="66" t="s">
        <v>327</v>
      </c>
      <c r="R12" s="66" t="s">
        <v>327</v>
      </c>
      <c r="S12" s="66" t="s">
        <v>327</v>
      </c>
      <c r="T12" s="66" t="s">
        <v>327</v>
      </c>
      <c r="U12" s="66"/>
      <c r="V12" s="66" t="s">
        <v>327</v>
      </c>
      <c r="W12" s="66" t="s">
        <v>327</v>
      </c>
      <c r="X12" s="66" t="s">
        <v>327</v>
      </c>
      <c r="Y12" s="66" t="s">
        <v>327</v>
      </c>
      <c r="Z12" s="66" t="s">
        <v>327</v>
      </c>
      <c r="AA12" s="66" t="s">
        <v>327</v>
      </c>
      <c r="AB12" s="66"/>
      <c r="AC12" s="66" t="s">
        <v>327</v>
      </c>
      <c r="AD12" s="66" t="s">
        <v>327</v>
      </c>
      <c r="AE12" s="66" t="s">
        <v>327</v>
      </c>
      <c r="AF12" s="66" t="s">
        <v>327</v>
      </c>
      <c r="AG12" s="66" t="s">
        <v>327</v>
      </c>
      <c r="AH12" s="66" t="s">
        <v>327</v>
      </c>
      <c r="AI12" s="66"/>
      <c r="AJ12" s="67">
        <f t="shared" si="3"/>
        <v>26</v>
      </c>
      <c r="AK12" s="67">
        <f t="shared" si="4"/>
        <v>0</v>
      </c>
      <c r="AL12" s="96">
        <v>2</v>
      </c>
      <c r="AM12" s="67">
        <f t="shared" si="2"/>
        <v>26</v>
      </c>
      <c r="AN12" s="10"/>
    </row>
    <row r="13" spans="1:40" x14ac:dyDescent="0.3">
      <c r="A13" s="10"/>
      <c r="B13" s="65" t="str">
        <f>'Salary Calculations'!C12</f>
        <v>AS2106</v>
      </c>
      <c r="C13" s="98" t="str">
        <f>'Salary Calculations'!D12</f>
        <v>Farhan Patel</v>
      </c>
      <c r="D13" s="99"/>
      <c r="E13" s="66" t="s">
        <v>327</v>
      </c>
      <c r="F13" s="66" t="s">
        <v>327</v>
      </c>
      <c r="G13" s="66"/>
      <c r="H13" s="66" t="s">
        <v>327</v>
      </c>
      <c r="I13" s="66" t="s">
        <v>327</v>
      </c>
      <c r="J13" s="66" t="s">
        <v>327</v>
      </c>
      <c r="K13" s="66" t="s">
        <v>327</v>
      </c>
      <c r="L13" s="66" t="s">
        <v>327</v>
      </c>
      <c r="M13" s="66" t="s">
        <v>327</v>
      </c>
      <c r="N13" s="66"/>
      <c r="O13" s="66" t="s">
        <v>327</v>
      </c>
      <c r="P13" s="66" t="s">
        <v>327</v>
      </c>
      <c r="Q13" s="66" t="s">
        <v>327</v>
      </c>
      <c r="R13" s="66" t="s">
        <v>327</v>
      </c>
      <c r="S13" s="66" t="s">
        <v>327</v>
      </c>
      <c r="T13" s="66" t="s">
        <v>327</v>
      </c>
      <c r="U13" s="66"/>
      <c r="V13" s="66" t="s">
        <v>327</v>
      </c>
      <c r="W13" s="66" t="s">
        <v>327</v>
      </c>
      <c r="X13" s="66" t="s">
        <v>327</v>
      </c>
      <c r="Y13" s="66" t="s">
        <v>327</v>
      </c>
      <c r="Z13" s="66" t="s">
        <v>327</v>
      </c>
      <c r="AA13" s="66" t="s">
        <v>327</v>
      </c>
      <c r="AB13" s="66"/>
      <c r="AC13" s="66" t="s">
        <v>327</v>
      </c>
      <c r="AD13" s="66" t="s">
        <v>327</v>
      </c>
      <c r="AE13" s="66" t="s">
        <v>327</v>
      </c>
      <c r="AF13" s="66" t="s">
        <v>327</v>
      </c>
      <c r="AG13" s="66" t="s">
        <v>327</v>
      </c>
      <c r="AH13" s="66" t="s">
        <v>327</v>
      </c>
      <c r="AI13" s="66"/>
      <c r="AJ13" s="67">
        <f t="shared" si="3"/>
        <v>26</v>
      </c>
      <c r="AK13" s="67">
        <f t="shared" si="4"/>
        <v>0</v>
      </c>
      <c r="AL13" s="96">
        <v>2</v>
      </c>
      <c r="AM13" s="67">
        <f t="shared" si="2"/>
        <v>26</v>
      </c>
      <c r="AN13" s="10"/>
    </row>
    <row r="14" spans="1:40" x14ac:dyDescent="0.3">
      <c r="A14" s="10"/>
      <c r="B14" s="65" t="str">
        <f>'Salary Calculations'!C13</f>
        <v>AS2107</v>
      </c>
      <c r="C14" s="98" t="str">
        <f>'Salary Calculations'!D13</f>
        <v>Geet Sahu</v>
      </c>
      <c r="D14" s="99"/>
      <c r="E14" s="66" t="s">
        <v>327</v>
      </c>
      <c r="F14" s="66" t="s">
        <v>327</v>
      </c>
      <c r="G14" s="66"/>
      <c r="H14" s="66" t="s">
        <v>327</v>
      </c>
      <c r="I14" s="66" t="s">
        <v>327</v>
      </c>
      <c r="J14" s="66" t="s">
        <v>327</v>
      </c>
      <c r="K14" s="66" t="s">
        <v>327</v>
      </c>
      <c r="L14" s="66" t="s">
        <v>327</v>
      </c>
      <c r="M14" s="66" t="s">
        <v>327</v>
      </c>
      <c r="N14" s="66"/>
      <c r="O14" s="66" t="s">
        <v>327</v>
      </c>
      <c r="P14" s="66" t="s">
        <v>327</v>
      </c>
      <c r="Q14" s="66" t="s">
        <v>327</v>
      </c>
      <c r="R14" s="66" t="s">
        <v>327</v>
      </c>
      <c r="S14" s="66" t="s">
        <v>327</v>
      </c>
      <c r="T14" s="66" t="s">
        <v>327</v>
      </c>
      <c r="U14" s="66"/>
      <c r="V14" s="66" t="s">
        <v>327</v>
      </c>
      <c r="W14" s="66" t="s">
        <v>327</v>
      </c>
      <c r="X14" s="66" t="s">
        <v>327</v>
      </c>
      <c r="Y14" s="66" t="s">
        <v>327</v>
      </c>
      <c r="Z14" s="66" t="s">
        <v>327</v>
      </c>
      <c r="AA14" s="66" t="s">
        <v>327</v>
      </c>
      <c r="AB14" s="66"/>
      <c r="AC14" s="66" t="s">
        <v>327</v>
      </c>
      <c r="AD14" s="66" t="s">
        <v>327</v>
      </c>
      <c r="AE14" s="66" t="s">
        <v>327</v>
      </c>
      <c r="AF14" s="66" t="s">
        <v>327</v>
      </c>
      <c r="AG14" s="66" t="s">
        <v>327</v>
      </c>
      <c r="AH14" s="66" t="s">
        <v>327</v>
      </c>
      <c r="AI14" s="66"/>
      <c r="AJ14" s="67">
        <f t="shared" si="3"/>
        <v>26</v>
      </c>
      <c r="AK14" s="67">
        <f t="shared" si="4"/>
        <v>0</v>
      </c>
      <c r="AL14" s="96">
        <v>2</v>
      </c>
      <c r="AM14" s="67">
        <f t="shared" si="2"/>
        <v>26</v>
      </c>
      <c r="AN14" s="10"/>
    </row>
    <row r="15" spans="1:40" x14ac:dyDescent="0.3">
      <c r="A15" s="10"/>
      <c r="B15" s="65" t="str">
        <f>'Salary Calculations'!C14</f>
        <v>AS2108</v>
      </c>
      <c r="C15" s="98" t="str">
        <f>'Salary Calculations'!D14</f>
        <v>Himesh Surya</v>
      </c>
      <c r="D15" s="99"/>
      <c r="E15" s="66" t="s">
        <v>327</v>
      </c>
      <c r="F15" s="66" t="s">
        <v>327</v>
      </c>
      <c r="G15" s="66"/>
      <c r="H15" s="66" t="s">
        <v>327</v>
      </c>
      <c r="I15" s="66" t="s">
        <v>327</v>
      </c>
      <c r="J15" s="66" t="s">
        <v>327</v>
      </c>
      <c r="K15" s="66" t="s">
        <v>327</v>
      </c>
      <c r="L15" s="66" t="s">
        <v>327</v>
      </c>
      <c r="M15" s="66" t="s">
        <v>327</v>
      </c>
      <c r="N15" s="66"/>
      <c r="O15" s="66" t="s">
        <v>327</v>
      </c>
      <c r="P15" s="66" t="s">
        <v>327</v>
      </c>
      <c r="Q15" s="66" t="s">
        <v>327</v>
      </c>
      <c r="R15" s="66" t="s">
        <v>327</v>
      </c>
      <c r="S15" s="66" t="s">
        <v>327</v>
      </c>
      <c r="T15" s="66" t="s">
        <v>327</v>
      </c>
      <c r="U15" s="66"/>
      <c r="V15" s="66" t="s">
        <v>327</v>
      </c>
      <c r="W15" s="66" t="s">
        <v>327</v>
      </c>
      <c r="X15" s="66" t="s">
        <v>327</v>
      </c>
      <c r="Y15" s="66" t="s">
        <v>327</v>
      </c>
      <c r="Z15" s="66" t="s">
        <v>327</v>
      </c>
      <c r="AA15" s="66" t="s">
        <v>327</v>
      </c>
      <c r="AB15" s="66"/>
      <c r="AC15" s="66" t="s">
        <v>327</v>
      </c>
      <c r="AD15" s="66" t="s">
        <v>327</v>
      </c>
      <c r="AE15" s="66" t="s">
        <v>327</v>
      </c>
      <c r="AF15" s="66" t="s">
        <v>327</v>
      </c>
      <c r="AG15" s="66" t="s">
        <v>327</v>
      </c>
      <c r="AH15" s="66" t="s">
        <v>327</v>
      </c>
      <c r="AI15" s="66"/>
      <c r="AJ15" s="67">
        <f t="shared" si="3"/>
        <v>26</v>
      </c>
      <c r="AK15" s="67">
        <f t="shared" si="4"/>
        <v>0</v>
      </c>
      <c r="AL15" s="96">
        <v>2</v>
      </c>
      <c r="AM15" s="67">
        <f t="shared" si="2"/>
        <v>26</v>
      </c>
      <c r="AN15" s="10"/>
    </row>
    <row r="16" spans="1:40" x14ac:dyDescent="0.3">
      <c r="A16" s="10"/>
      <c r="B16" s="65" t="str">
        <f>'Salary Calculations'!C15</f>
        <v>AS2109</v>
      </c>
      <c r="C16" s="98" t="str">
        <f>'Salary Calculations'!D15</f>
        <v>Imran Abha</v>
      </c>
      <c r="D16" s="99"/>
      <c r="E16" s="66" t="s">
        <v>327</v>
      </c>
      <c r="F16" s="66" t="s">
        <v>327</v>
      </c>
      <c r="G16" s="66"/>
      <c r="H16" s="66" t="s">
        <v>327</v>
      </c>
      <c r="I16" s="66" t="s">
        <v>327</v>
      </c>
      <c r="J16" s="66" t="s">
        <v>327</v>
      </c>
      <c r="K16" s="66" t="s">
        <v>327</v>
      </c>
      <c r="L16" s="66" t="s">
        <v>327</v>
      </c>
      <c r="M16" s="66" t="s">
        <v>327</v>
      </c>
      <c r="N16" s="66"/>
      <c r="O16" s="66" t="s">
        <v>327</v>
      </c>
      <c r="P16" s="66" t="s">
        <v>327</v>
      </c>
      <c r="Q16" s="66" t="s">
        <v>327</v>
      </c>
      <c r="R16" s="66" t="s">
        <v>327</v>
      </c>
      <c r="S16" s="66" t="s">
        <v>327</v>
      </c>
      <c r="T16" s="66" t="s">
        <v>327</v>
      </c>
      <c r="U16" s="66"/>
      <c r="V16" s="66" t="s">
        <v>327</v>
      </c>
      <c r="W16" s="66" t="s">
        <v>327</v>
      </c>
      <c r="X16" s="66" t="s">
        <v>327</v>
      </c>
      <c r="Y16" s="66" t="s">
        <v>327</v>
      </c>
      <c r="Z16" s="66" t="s">
        <v>327</v>
      </c>
      <c r="AA16" s="66" t="s">
        <v>327</v>
      </c>
      <c r="AB16" s="66"/>
      <c r="AC16" s="66" t="s">
        <v>327</v>
      </c>
      <c r="AD16" s="66" t="s">
        <v>327</v>
      </c>
      <c r="AE16" s="66" t="s">
        <v>327</v>
      </c>
      <c r="AF16" s="66" t="s">
        <v>327</v>
      </c>
      <c r="AG16" s="66" t="s">
        <v>327</v>
      </c>
      <c r="AH16" s="66" t="s">
        <v>327</v>
      </c>
      <c r="AI16" s="66"/>
      <c r="AJ16" s="67">
        <f t="shared" si="3"/>
        <v>26</v>
      </c>
      <c r="AK16" s="67">
        <f t="shared" si="4"/>
        <v>0</v>
      </c>
      <c r="AL16" s="96">
        <v>2</v>
      </c>
      <c r="AM16" s="67">
        <f t="shared" si="2"/>
        <v>26</v>
      </c>
      <c r="AN16" s="10"/>
    </row>
    <row r="17" spans="1:40" x14ac:dyDescent="0.3">
      <c r="A17" s="10"/>
      <c r="B17" s="65" t="str">
        <f>'Salary Calculations'!C16</f>
        <v>AS2110</v>
      </c>
      <c r="C17" s="98" t="str">
        <f>'Salary Calculations'!D16</f>
        <v>Jitendra Pande</v>
      </c>
      <c r="D17" s="99"/>
      <c r="E17" s="66" t="s">
        <v>327</v>
      </c>
      <c r="F17" s="66" t="s">
        <v>327</v>
      </c>
      <c r="G17" s="66"/>
      <c r="H17" s="66" t="s">
        <v>327</v>
      </c>
      <c r="I17" s="66" t="s">
        <v>327</v>
      </c>
      <c r="J17" s="66" t="s">
        <v>327</v>
      </c>
      <c r="K17" s="66" t="s">
        <v>327</v>
      </c>
      <c r="L17" s="66" t="s">
        <v>327</v>
      </c>
      <c r="M17" s="66" t="s">
        <v>327</v>
      </c>
      <c r="N17" s="66"/>
      <c r="O17" s="66" t="s">
        <v>327</v>
      </c>
      <c r="P17" s="66" t="s">
        <v>327</v>
      </c>
      <c r="Q17" s="66" t="s">
        <v>327</v>
      </c>
      <c r="R17" s="66" t="s">
        <v>327</v>
      </c>
      <c r="S17" s="66" t="s">
        <v>327</v>
      </c>
      <c r="T17" s="66" t="s">
        <v>327</v>
      </c>
      <c r="U17" s="66"/>
      <c r="V17" s="66" t="s">
        <v>327</v>
      </c>
      <c r="W17" s="66" t="s">
        <v>327</v>
      </c>
      <c r="X17" s="66" t="s">
        <v>327</v>
      </c>
      <c r="Y17" s="66" t="s">
        <v>327</v>
      </c>
      <c r="Z17" s="66" t="s">
        <v>327</v>
      </c>
      <c r="AA17" s="66" t="s">
        <v>327</v>
      </c>
      <c r="AB17" s="66"/>
      <c r="AC17" s="66" t="s">
        <v>327</v>
      </c>
      <c r="AD17" s="66" t="s">
        <v>327</v>
      </c>
      <c r="AE17" s="66" t="s">
        <v>327</v>
      </c>
      <c r="AF17" s="66" t="s">
        <v>327</v>
      </c>
      <c r="AG17" s="66" t="s">
        <v>327</v>
      </c>
      <c r="AH17" s="66" t="s">
        <v>327</v>
      </c>
      <c r="AI17" s="66"/>
      <c r="AJ17" s="67">
        <f t="shared" si="3"/>
        <v>26</v>
      </c>
      <c r="AK17" s="67">
        <f t="shared" si="4"/>
        <v>0</v>
      </c>
      <c r="AL17" s="96">
        <v>2</v>
      </c>
      <c r="AM17" s="67">
        <f t="shared" si="2"/>
        <v>26</v>
      </c>
      <c r="AN17" s="10"/>
    </row>
    <row r="18" spans="1:40" x14ac:dyDescent="0.3">
      <c r="A18" s="10"/>
      <c r="B18" s="65" t="str">
        <f>'Salary Calculations'!C17</f>
        <v>AS2111</v>
      </c>
      <c r="C18" s="98" t="str">
        <f>'Salary Calculations'!D17</f>
        <v>Kailash Rane</v>
      </c>
      <c r="D18" s="99"/>
      <c r="E18" s="66" t="s">
        <v>327</v>
      </c>
      <c r="F18" s="66" t="s">
        <v>327</v>
      </c>
      <c r="G18" s="66"/>
      <c r="H18" s="66" t="s">
        <v>327</v>
      </c>
      <c r="I18" s="66" t="s">
        <v>327</v>
      </c>
      <c r="J18" s="66" t="s">
        <v>327</v>
      </c>
      <c r="K18" s="66" t="s">
        <v>327</v>
      </c>
      <c r="L18" s="66" t="s">
        <v>327</v>
      </c>
      <c r="M18" s="66" t="s">
        <v>327</v>
      </c>
      <c r="N18" s="66"/>
      <c r="O18" s="66" t="s">
        <v>327</v>
      </c>
      <c r="P18" s="66" t="s">
        <v>327</v>
      </c>
      <c r="Q18" s="66" t="s">
        <v>327</v>
      </c>
      <c r="R18" s="66" t="s">
        <v>327</v>
      </c>
      <c r="S18" s="66" t="s">
        <v>327</v>
      </c>
      <c r="T18" s="66" t="s">
        <v>327</v>
      </c>
      <c r="U18" s="66"/>
      <c r="V18" s="66" t="s">
        <v>327</v>
      </c>
      <c r="W18" s="66" t="s">
        <v>327</v>
      </c>
      <c r="X18" s="66" t="s">
        <v>327</v>
      </c>
      <c r="Y18" s="66" t="s">
        <v>327</v>
      </c>
      <c r="Z18" s="66" t="s">
        <v>327</v>
      </c>
      <c r="AA18" s="66" t="s">
        <v>327</v>
      </c>
      <c r="AB18" s="66"/>
      <c r="AC18" s="66" t="s">
        <v>327</v>
      </c>
      <c r="AD18" s="66" t="s">
        <v>327</v>
      </c>
      <c r="AE18" s="66" t="s">
        <v>327</v>
      </c>
      <c r="AF18" s="66" t="s">
        <v>327</v>
      </c>
      <c r="AG18" s="66" t="s">
        <v>327</v>
      </c>
      <c r="AH18" s="66" t="s">
        <v>327</v>
      </c>
      <c r="AI18" s="66"/>
      <c r="AJ18" s="67">
        <f t="shared" si="3"/>
        <v>26</v>
      </c>
      <c r="AK18" s="67">
        <f t="shared" si="4"/>
        <v>0</v>
      </c>
      <c r="AL18" s="96">
        <v>2</v>
      </c>
      <c r="AM18" s="67">
        <f t="shared" si="2"/>
        <v>26</v>
      </c>
      <c r="AN18" s="10"/>
    </row>
    <row r="19" spans="1:40" x14ac:dyDescent="0.3">
      <c r="A19" s="10"/>
      <c r="B19" s="65" t="str">
        <f>'Salary Calculations'!C18</f>
        <v>AS2112</v>
      </c>
      <c r="C19" s="98" t="str">
        <f>'Salary Calculations'!D18</f>
        <v>Luv Patel</v>
      </c>
      <c r="D19" s="99"/>
      <c r="E19" s="66" t="s">
        <v>327</v>
      </c>
      <c r="F19" s="66" t="s">
        <v>327</v>
      </c>
      <c r="G19" s="66"/>
      <c r="H19" s="66" t="s">
        <v>327</v>
      </c>
      <c r="I19" s="66" t="s">
        <v>327</v>
      </c>
      <c r="J19" s="66" t="s">
        <v>327</v>
      </c>
      <c r="K19" s="66" t="s">
        <v>327</v>
      </c>
      <c r="L19" s="66" t="s">
        <v>327</v>
      </c>
      <c r="M19" s="66" t="s">
        <v>327</v>
      </c>
      <c r="N19" s="66"/>
      <c r="O19" s="66" t="s">
        <v>327</v>
      </c>
      <c r="P19" s="66" t="s">
        <v>327</v>
      </c>
      <c r="Q19" s="66" t="s">
        <v>327</v>
      </c>
      <c r="R19" s="66" t="s">
        <v>327</v>
      </c>
      <c r="S19" s="66" t="s">
        <v>327</v>
      </c>
      <c r="T19" s="66" t="s">
        <v>327</v>
      </c>
      <c r="U19" s="66"/>
      <c r="V19" s="66" t="s">
        <v>327</v>
      </c>
      <c r="W19" s="66" t="s">
        <v>327</v>
      </c>
      <c r="X19" s="66" t="s">
        <v>327</v>
      </c>
      <c r="Y19" s="66" t="s">
        <v>327</v>
      </c>
      <c r="Z19" s="66" t="s">
        <v>327</v>
      </c>
      <c r="AA19" s="66" t="s">
        <v>327</v>
      </c>
      <c r="AB19" s="66"/>
      <c r="AC19" s="66" t="s">
        <v>327</v>
      </c>
      <c r="AD19" s="66" t="s">
        <v>327</v>
      </c>
      <c r="AE19" s="66" t="s">
        <v>327</v>
      </c>
      <c r="AF19" s="66" t="s">
        <v>327</v>
      </c>
      <c r="AG19" s="66" t="s">
        <v>327</v>
      </c>
      <c r="AH19" s="66" t="s">
        <v>327</v>
      </c>
      <c r="AI19" s="66"/>
      <c r="AJ19" s="67">
        <f t="shared" si="3"/>
        <v>26</v>
      </c>
      <c r="AK19" s="67">
        <f t="shared" si="4"/>
        <v>0</v>
      </c>
      <c r="AL19" s="96">
        <v>2</v>
      </c>
      <c r="AM19" s="67">
        <f t="shared" si="2"/>
        <v>26</v>
      </c>
      <c r="AN19" s="10"/>
    </row>
    <row r="20" spans="1:40" x14ac:dyDescent="0.3">
      <c r="A20" s="10"/>
      <c r="B20" s="65" t="str">
        <f>'Salary Calculations'!C19</f>
        <v>AS2113</v>
      </c>
      <c r="C20" s="98" t="str">
        <f>'Salary Calculations'!D19</f>
        <v>Manoj Bhide</v>
      </c>
      <c r="D20" s="99"/>
      <c r="E20" s="66" t="s">
        <v>327</v>
      </c>
      <c r="F20" s="66" t="s">
        <v>327</v>
      </c>
      <c r="G20" s="66"/>
      <c r="H20" s="66" t="s">
        <v>327</v>
      </c>
      <c r="I20" s="66" t="s">
        <v>327</v>
      </c>
      <c r="J20" s="66" t="s">
        <v>327</v>
      </c>
      <c r="K20" s="66" t="s">
        <v>327</v>
      </c>
      <c r="L20" s="66" t="s">
        <v>327</v>
      </c>
      <c r="M20" s="66" t="s">
        <v>327</v>
      </c>
      <c r="N20" s="66"/>
      <c r="O20" s="66" t="s">
        <v>327</v>
      </c>
      <c r="P20" s="66" t="s">
        <v>327</v>
      </c>
      <c r="Q20" s="66" t="s">
        <v>327</v>
      </c>
      <c r="R20" s="66" t="s">
        <v>327</v>
      </c>
      <c r="S20" s="66" t="s">
        <v>327</v>
      </c>
      <c r="T20" s="66" t="s">
        <v>327</v>
      </c>
      <c r="U20" s="66"/>
      <c r="V20" s="66" t="s">
        <v>327</v>
      </c>
      <c r="W20" s="66" t="s">
        <v>327</v>
      </c>
      <c r="X20" s="66" t="s">
        <v>327</v>
      </c>
      <c r="Y20" s="66" t="s">
        <v>327</v>
      </c>
      <c r="Z20" s="66" t="s">
        <v>327</v>
      </c>
      <c r="AA20" s="66" t="s">
        <v>327</v>
      </c>
      <c r="AB20" s="66"/>
      <c r="AC20" s="66" t="s">
        <v>327</v>
      </c>
      <c r="AD20" s="66" t="s">
        <v>327</v>
      </c>
      <c r="AE20" s="66" t="s">
        <v>327</v>
      </c>
      <c r="AF20" s="66" t="s">
        <v>327</v>
      </c>
      <c r="AG20" s="66" t="s">
        <v>327</v>
      </c>
      <c r="AH20" s="66" t="s">
        <v>327</v>
      </c>
      <c r="AI20" s="66"/>
      <c r="AJ20" s="67">
        <f t="shared" si="3"/>
        <v>26</v>
      </c>
      <c r="AK20" s="67">
        <f t="shared" si="4"/>
        <v>0</v>
      </c>
      <c r="AL20" s="96">
        <v>2</v>
      </c>
      <c r="AM20" s="67">
        <f t="shared" si="2"/>
        <v>26</v>
      </c>
      <c r="AN20" s="10"/>
    </row>
    <row r="21" spans="1:40" x14ac:dyDescent="0.3">
      <c r="A21" s="10"/>
      <c r="B21" s="65" t="str">
        <f>'Salary Calculations'!C20</f>
        <v>AS2114</v>
      </c>
      <c r="C21" s="98" t="str">
        <f>'Salary Calculations'!D20</f>
        <v>Nancy Pastor</v>
      </c>
      <c r="D21" s="99"/>
      <c r="E21" s="66" t="s">
        <v>327</v>
      </c>
      <c r="F21" s="66" t="s">
        <v>327</v>
      </c>
      <c r="G21" s="66"/>
      <c r="H21" s="66" t="s">
        <v>327</v>
      </c>
      <c r="I21" s="66" t="s">
        <v>327</v>
      </c>
      <c r="J21" s="66" t="s">
        <v>327</v>
      </c>
      <c r="K21" s="66" t="s">
        <v>327</v>
      </c>
      <c r="L21" s="66" t="s">
        <v>327</v>
      </c>
      <c r="M21" s="66" t="s">
        <v>327</v>
      </c>
      <c r="N21" s="66"/>
      <c r="O21" s="66" t="s">
        <v>327</v>
      </c>
      <c r="P21" s="66" t="s">
        <v>327</v>
      </c>
      <c r="Q21" s="66" t="s">
        <v>327</v>
      </c>
      <c r="R21" s="66" t="s">
        <v>327</v>
      </c>
      <c r="S21" s="66" t="s">
        <v>327</v>
      </c>
      <c r="T21" s="66" t="s">
        <v>327</v>
      </c>
      <c r="U21" s="66"/>
      <c r="V21" s="66" t="s">
        <v>327</v>
      </c>
      <c r="W21" s="66" t="s">
        <v>327</v>
      </c>
      <c r="X21" s="66" t="s">
        <v>327</v>
      </c>
      <c r="Y21" s="66" t="s">
        <v>327</v>
      </c>
      <c r="Z21" s="66" t="s">
        <v>327</v>
      </c>
      <c r="AA21" s="66" t="s">
        <v>327</v>
      </c>
      <c r="AB21" s="66"/>
      <c r="AC21" s="66" t="s">
        <v>327</v>
      </c>
      <c r="AD21" s="66" t="s">
        <v>327</v>
      </c>
      <c r="AE21" s="66" t="s">
        <v>327</v>
      </c>
      <c r="AF21" s="66" t="s">
        <v>327</v>
      </c>
      <c r="AG21" s="66" t="s">
        <v>327</v>
      </c>
      <c r="AH21" s="66" t="s">
        <v>327</v>
      </c>
      <c r="AI21" s="66"/>
      <c r="AJ21" s="67">
        <f t="shared" si="3"/>
        <v>26</v>
      </c>
      <c r="AK21" s="67">
        <f t="shared" si="4"/>
        <v>0</v>
      </c>
      <c r="AL21" s="96">
        <v>2</v>
      </c>
      <c r="AM21" s="67">
        <f t="shared" si="2"/>
        <v>26</v>
      </c>
      <c r="AN21" s="10"/>
    </row>
    <row r="22" spans="1:40" x14ac:dyDescent="0.3">
      <c r="A22" s="10"/>
      <c r="B22" s="65" t="str">
        <f>'Salary Calculations'!C21</f>
        <v>AS2115</v>
      </c>
      <c r="C22" s="98" t="str">
        <f>'Salary Calculations'!D21</f>
        <v>Omar Shaikh</v>
      </c>
      <c r="D22" s="99"/>
      <c r="E22" s="66" t="s">
        <v>327</v>
      </c>
      <c r="F22" s="66" t="s">
        <v>327</v>
      </c>
      <c r="G22" s="66"/>
      <c r="H22" s="66" t="s">
        <v>327</v>
      </c>
      <c r="I22" s="66" t="s">
        <v>327</v>
      </c>
      <c r="J22" s="66" t="s">
        <v>327</v>
      </c>
      <c r="K22" s="66" t="s">
        <v>327</v>
      </c>
      <c r="L22" s="66" t="s">
        <v>327</v>
      </c>
      <c r="M22" s="66" t="s">
        <v>327</v>
      </c>
      <c r="N22" s="66"/>
      <c r="O22" s="66" t="s">
        <v>327</v>
      </c>
      <c r="P22" s="66" t="s">
        <v>327</v>
      </c>
      <c r="Q22" s="66" t="s">
        <v>327</v>
      </c>
      <c r="R22" s="66" t="s">
        <v>327</v>
      </c>
      <c r="S22" s="66" t="s">
        <v>327</v>
      </c>
      <c r="T22" s="66" t="s">
        <v>327</v>
      </c>
      <c r="U22" s="66"/>
      <c r="V22" s="66" t="s">
        <v>327</v>
      </c>
      <c r="W22" s="66" t="s">
        <v>327</v>
      </c>
      <c r="X22" s="66" t="s">
        <v>327</v>
      </c>
      <c r="Y22" s="66" t="s">
        <v>327</v>
      </c>
      <c r="Z22" s="66" t="s">
        <v>327</v>
      </c>
      <c r="AA22" s="66" t="s">
        <v>327</v>
      </c>
      <c r="AB22" s="66"/>
      <c r="AC22" s="66" t="s">
        <v>327</v>
      </c>
      <c r="AD22" s="66" t="s">
        <v>327</v>
      </c>
      <c r="AE22" s="66" t="s">
        <v>327</v>
      </c>
      <c r="AF22" s="66" t="s">
        <v>327</v>
      </c>
      <c r="AG22" s="66" t="s">
        <v>327</v>
      </c>
      <c r="AH22" s="66" t="s">
        <v>327</v>
      </c>
      <c r="AI22" s="66"/>
      <c r="AJ22" s="67">
        <f t="shared" si="3"/>
        <v>26</v>
      </c>
      <c r="AK22" s="67">
        <f t="shared" si="4"/>
        <v>0</v>
      </c>
      <c r="AL22" s="96">
        <v>2</v>
      </c>
      <c r="AM22" s="67">
        <f t="shared" si="2"/>
        <v>26</v>
      </c>
      <c r="AN22" s="10"/>
    </row>
    <row r="23" spans="1:40" x14ac:dyDescent="0.3">
      <c r="A23" s="10"/>
      <c r="B23" s="65" t="str">
        <f>'Salary Calculations'!C22</f>
        <v>AS2116</v>
      </c>
      <c r="C23" s="98" t="str">
        <f>'Salary Calculations'!D22</f>
        <v>Preetam Chavla</v>
      </c>
      <c r="D23" s="99"/>
      <c r="E23" s="66" t="s">
        <v>327</v>
      </c>
      <c r="F23" s="66" t="s">
        <v>327</v>
      </c>
      <c r="G23" s="66"/>
      <c r="H23" s="66" t="s">
        <v>327</v>
      </c>
      <c r="I23" s="66" t="s">
        <v>327</v>
      </c>
      <c r="J23" s="66" t="s">
        <v>327</v>
      </c>
      <c r="K23" s="66" t="s">
        <v>327</v>
      </c>
      <c r="L23" s="66" t="s">
        <v>327</v>
      </c>
      <c r="M23" s="66" t="s">
        <v>327</v>
      </c>
      <c r="N23" s="66"/>
      <c r="O23" s="66" t="s">
        <v>327</v>
      </c>
      <c r="P23" s="66" t="s">
        <v>327</v>
      </c>
      <c r="Q23" s="66" t="s">
        <v>327</v>
      </c>
      <c r="R23" s="66" t="s">
        <v>327</v>
      </c>
      <c r="S23" s="66" t="s">
        <v>327</v>
      </c>
      <c r="T23" s="66" t="s">
        <v>327</v>
      </c>
      <c r="U23" s="66"/>
      <c r="V23" s="66" t="s">
        <v>327</v>
      </c>
      <c r="W23" s="66" t="s">
        <v>327</v>
      </c>
      <c r="X23" s="66" t="s">
        <v>327</v>
      </c>
      <c r="Y23" s="66" t="s">
        <v>327</v>
      </c>
      <c r="Z23" s="66" t="s">
        <v>327</v>
      </c>
      <c r="AA23" s="66" t="s">
        <v>327</v>
      </c>
      <c r="AB23" s="66"/>
      <c r="AC23" s="66" t="s">
        <v>327</v>
      </c>
      <c r="AD23" s="66" t="s">
        <v>327</v>
      </c>
      <c r="AE23" s="66" t="s">
        <v>327</v>
      </c>
      <c r="AF23" s="66" t="s">
        <v>327</v>
      </c>
      <c r="AG23" s="66" t="s">
        <v>327</v>
      </c>
      <c r="AH23" s="66" t="s">
        <v>327</v>
      </c>
      <c r="AI23" s="66"/>
      <c r="AJ23" s="67">
        <f t="shared" si="3"/>
        <v>26</v>
      </c>
      <c r="AK23" s="67">
        <f t="shared" si="4"/>
        <v>0</v>
      </c>
      <c r="AL23" s="96">
        <v>2</v>
      </c>
      <c r="AM23" s="67">
        <f t="shared" si="2"/>
        <v>26</v>
      </c>
      <c r="AN23" s="10"/>
    </row>
    <row r="24" spans="1:40" x14ac:dyDescent="0.3">
      <c r="A24" s="10"/>
      <c r="B24" s="65" t="str">
        <f>'Salary Calculations'!C23</f>
        <v>AS2117</v>
      </c>
      <c r="C24" s="98" t="str">
        <f>'Salary Calculations'!D23</f>
        <v>Ram Vihaan</v>
      </c>
      <c r="D24" s="99"/>
      <c r="E24" s="66" t="s">
        <v>327</v>
      </c>
      <c r="F24" s="66" t="s">
        <v>327</v>
      </c>
      <c r="G24" s="66"/>
      <c r="H24" s="66" t="s">
        <v>327</v>
      </c>
      <c r="I24" s="66" t="s">
        <v>327</v>
      </c>
      <c r="J24" s="66" t="s">
        <v>327</v>
      </c>
      <c r="K24" s="66" t="s">
        <v>327</v>
      </c>
      <c r="L24" s="66" t="s">
        <v>327</v>
      </c>
      <c r="M24" s="66" t="s">
        <v>327</v>
      </c>
      <c r="N24" s="66"/>
      <c r="O24" s="66" t="s">
        <v>327</v>
      </c>
      <c r="P24" s="66" t="s">
        <v>327</v>
      </c>
      <c r="Q24" s="66" t="s">
        <v>327</v>
      </c>
      <c r="R24" s="66" t="s">
        <v>327</v>
      </c>
      <c r="S24" s="66" t="s">
        <v>327</v>
      </c>
      <c r="T24" s="66" t="s">
        <v>327</v>
      </c>
      <c r="U24" s="66"/>
      <c r="V24" s="66" t="s">
        <v>327</v>
      </c>
      <c r="W24" s="66" t="s">
        <v>327</v>
      </c>
      <c r="X24" s="66" t="s">
        <v>327</v>
      </c>
      <c r="Y24" s="66" t="s">
        <v>327</v>
      </c>
      <c r="Z24" s="66" t="s">
        <v>327</v>
      </c>
      <c r="AA24" s="66" t="s">
        <v>327</v>
      </c>
      <c r="AB24" s="66"/>
      <c r="AC24" s="66" t="s">
        <v>327</v>
      </c>
      <c r="AD24" s="66" t="s">
        <v>327</v>
      </c>
      <c r="AE24" s="66" t="s">
        <v>327</v>
      </c>
      <c r="AF24" s="66" t="s">
        <v>327</v>
      </c>
      <c r="AG24" s="66" t="s">
        <v>327</v>
      </c>
      <c r="AH24" s="66" t="s">
        <v>327</v>
      </c>
      <c r="AI24" s="66"/>
      <c r="AJ24" s="67">
        <f t="shared" si="3"/>
        <v>26</v>
      </c>
      <c r="AK24" s="67">
        <f t="shared" si="4"/>
        <v>0</v>
      </c>
      <c r="AL24" s="96">
        <v>2</v>
      </c>
      <c r="AM24" s="67">
        <f t="shared" si="2"/>
        <v>26</v>
      </c>
      <c r="AN24" s="10"/>
    </row>
    <row r="25" spans="1:40" x14ac:dyDescent="0.3">
      <c r="A25" s="10"/>
      <c r="B25" s="65" t="str">
        <f>'Salary Calculations'!C24</f>
        <v>AS2118</v>
      </c>
      <c r="C25" s="98" t="str">
        <f>'Salary Calculations'!D24</f>
        <v>Sunil Upadhay</v>
      </c>
      <c r="D25" s="99"/>
      <c r="E25" s="66" t="s">
        <v>327</v>
      </c>
      <c r="F25" s="66" t="s">
        <v>327</v>
      </c>
      <c r="G25" s="66"/>
      <c r="H25" s="66" t="s">
        <v>327</v>
      </c>
      <c r="I25" s="66" t="s">
        <v>327</v>
      </c>
      <c r="J25" s="66" t="s">
        <v>327</v>
      </c>
      <c r="K25" s="66" t="s">
        <v>327</v>
      </c>
      <c r="L25" s="66" t="s">
        <v>327</v>
      </c>
      <c r="M25" s="66" t="s">
        <v>327</v>
      </c>
      <c r="N25" s="66"/>
      <c r="O25" s="66" t="s">
        <v>327</v>
      </c>
      <c r="P25" s="66" t="s">
        <v>327</v>
      </c>
      <c r="Q25" s="66" t="s">
        <v>327</v>
      </c>
      <c r="R25" s="66" t="s">
        <v>327</v>
      </c>
      <c r="S25" s="66" t="s">
        <v>327</v>
      </c>
      <c r="T25" s="66" t="s">
        <v>327</v>
      </c>
      <c r="U25" s="66"/>
      <c r="V25" s="66" t="s">
        <v>327</v>
      </c>
      <c r="W25" s="66" t="s">
        <v>327</v>
      </c>
      <c r="X25" s="66" t="s">
        <v>327</v>
      </c>
      <c r="Y25" s="66" t="s">
        <v>327</v>
      </c>
      <c r="Z25" s="66" t="s">
        <v>327</v>
      </c>
      <c r="AA25" s="66" t="s">
        <v>327</v>
      </c>
      <c r="AB25" s="66"/>
      <c r="AC25" s="66" t="s">
        <v>327</v>
      </c>
      <c r="AD25" s="66" t="s">
        <v>327</v>
      </c>
      <c r="AE25" s="66" t="s">
        <v>327</v>
      </c>
      <c r="AF25" s="66" t="s">
        <v>327</v>
      </c>
      <c r="AG25" s="66" t="s">
        <v>327</v>
      </c>
      <c r="AH25" s="66" t="s">
        <v>327</v>
      </c>
      <c r="AI25" s="66"/>
      <c r="AJ25" s="67">
        <f t="shared" si="3"/>
        <v>26</v>
      </c>
      <c r="AK25" s="67">
        <f t="shared" si="4"/>
        <v>0</v>
      </c>
      <c r="AL25" s="96">
        <v>2</v>
      </c>
      <c r="AM25" s="67">
        <f t="shared" si="2"/>
        <v>26</v>
      </c>
      <c r="AN25" s="10"/>
    </row>
    <row r="26" spans="1:40" x14ac:dyDescent="0.3">
      <c r="A26" s="10"/>
      <c r="B26" s="65" t="str">
        <f>'Salary Calculations'!C25</f>
        <v>AS2119</v>
      </c>
      <c r="C26" s="98" t="str">
        <f>'Salary Calculations'!D25</f>
        <v>Tirth Chobe</v>
      </c>
      <c r="D26" s="99"/>
      <c r="E26" s="66" t="s">
        <v>327</v>
      </c>
      <c r="F26" s="66" t="s">
        <v>327</v>
      </c>
      <c r="G26" s="66"/>
      <c r="H26" s="66" t="s">
        <v>327</v>
      </c>
      <c r="I26" s="66" t="s">
        <v>327</v>
      </c>
      <c r="J26" s="66" t="s">
        <v>327</v>
      </c>
      <c r="K26" s="66" t="s">
        <v>327</v>
      </c>
      <c r="L26" s="66" t="s">
        <v>327</v>
      </c>
      <c r="M26" s="66" t="s">
        <v>327</v>
      </c>
      <c r="N26" s="66"/>
      <c r="O26" s="66" t="s">
        <v>327</v>
      </c>
      <c r="P26" s="66" t="s">
        <v>327</v>
      </c>
      <c r="Q26" s="66" t="s">
        <v>327</v>
      </c>
      <c r="R26" s="66" t="s">
        <v>327</v>
      </c>
      <c r="S26" s="66" t="s">
        <v>327</v>
      </c>
      <c r="T26" s="66" t="s">
        <v>327</v>
      </c>
      <c r="U26" s="66"/>
      <c r="V26" s="66" t="s">
        <v>327</v>
      </c>
      <c r="W26" s="66" t="s">
        <v>327</v>
      </c>
      <c r="X26" s="66" t="s">
        <v>327</v>
      </c>
      <c r="Y26" s="66" t="s">
        <v>327</v>
      </c>
      <c r="Z26" s="66" t="s">
        <v>327</v>
      </c>
      <c r="AA26" s="66" t="s">
        <v>327</v>
      </c>
      <c r="AB26" s="66"/>
      <c r="AC26" s="66" t="s">
        <v>327</v>
      </c>
      <c r="AD26" s="66" t="s">
        <v>327</v>
      </c>
      <c r="AE26" s="66" t="s">
        <v>327</v>
      </c>
      <c r="AF26" s="66" t="s">
        <v>327</v>
      </c>
      <c r="AG26" s="66" t="s">
        <v>327</v>
      </c>
      <c r="AH26" s="66" t="s">
        <v>327</v>
      </c>
      <c r="AI26" s="66"/>
      <c r="AJ26" s="67">
        <f t="shared" si="3"/>
        <v>26</v>
      </c>
      <c r="AK26" s="67">
        <f t="shared" si="4"/>
        <v>0</v>
      </c>
      <c r="AL26" s="96">
        <v>2</v>
      </c>
      <c r="AM26" s="67">
        <f t="shared" si="2"/>
        <v>26</v>
      </c>
      <c r="AN26" s="10"/>
    </row>
    <row r="27" spans="1:40" x14ac:dyDescent="0.3">
      <c r="A27" s="10"/>
      <c r="B27" s="65" t="str">
        <f>'Salary Calculations'!C26</f>
        <v>AS2120</v>
      </c>
      <c r="C27" s="98" t="str">
        <f>'Salary Calculations'!D26</f>
        <v>Umesh Bajrang</v>
      </c>
      <c r="D27" s="99"/>
      <c r="E27" s="66" t="s">
        <v>327</v>
      </c>
      <c r="F27" s="66" t="s">
        <v>327</v>
      </c>
      <c r="G27" s="66"/>
      <c r="H27" s="66" t="s">
        <v>327</v>
      </c>
      <c r="I27" s="66" t="s">
        <v>327</v>
      </c>
      <c r="J27" s="66" t="s">
        <v>327</v>
      </c>
      <c r="K27" s="66" t="s">
        <v>327</v>
      </c>
      <c r="L27" s="66" t="s">
        <v>327</v>
      </c>
      <c r="M27" s="66" t="s">
        <v>327</v>
      </c>
      <c r="N27" s="66"/>
      <c r="O27" s="66" t="s">
        <v>327</v>
      </c>
      <c r="P27" s="66" t="s">
        <v>327</v>
      </c>
      <c r="Q27" s="66" t="s">
        <v>327</v>
      </c>
      <c r="R27" s="66" t="s">
        <v>327</v>
      </c>
      <c r="S27" s="66" t="s">
        <v>327</v>
      </c>
      <c r="T27" s="66" t="s">
        <v>327</v>
      </c>
      <c r="U27" s="66"/>
      <c r="V27" s="66" t="s">
        <v>327</v>
      </c>
      <c r="W27" s="66" t="s">
        <v>327</v>
      </c>
      <c r="X27" s="66" t="s">
        <v>327</v>
      </c>
      <c r="Y27" s="66" t="s">
        <v>327</v>
      </c>
      <c r="Z27" s="66" t="s">
        <v>327</v>
      </c>
      <c r="AA27" s="66" t="s">
        <v>327</v>
      </c>
      <c r="AB27" s="66"/>
      <c r="AC27" s="66" t="s">
        <v>327</v>
      </c>
      <c r="AD27" s="66" t="s">
        <v>327</v>
      </c>
      <c r="AE27" s="66" t="s">
        <v>327</v>
      </c>
      <c r="AF27" s="66" t="s">
        <v>327</v>
      </c>
      <c r="AG27" s="66" t="s">
        <v>327</v>
      </c>
      <c r="AH27" s="66" t="s">
        <v>327</v>
      </c>
      <c r="AI27" s="66"/>
      <c r="AJ27" s="67">
        <f t="shared" si="3"/>
        <v>26</v>
      </c>
      <c r="AK27" s="67">
        <f t="shared" si="4"/>
        <v>0</v>
      </c>
      <c r="AL27" s="96">
        <v>2</v>
      </c>
      <c r="AM27" s="67">
        <f t="shared" si="2"/>
        <v>26</v>
      </c>
      <c r="AN27" s="10"/>
    </row>
    <row r="28" spans="1:40" x14ac:dyDescent="0.3">
      <c r="A28" s="10"/>
      <c r="B28" s="65" t="str">
        <f>'Salary Calculations'!C27</f>
        <v>AS2121</v>
      </c>
      <c r="C28" s="98" t="str">
        <f>'Salary Calculations'!D27</f>
        <v>VV</v>
      </c>
      <c r="D28" s="99"/>
      <c r="E28" s="66" t="s">
        <v>327</v>
      </c>
      <c r="F28" s="66" t="s">
        <v>327</v>
      </c>
      <c r="G28" s="66"/>
      <c r="H28" s="66" t="s">
        <v>327</v>
      </c>
      <c r="I28" s="66" t="s">
        <v>327</v>
      </c>
      <c r="J28" s="66" t="s">
        <v>327</v>
      </c>
      <c r="K28" s="66" t="s">
        <v>327</v>
      </c>
      <c r="L28" s="66" t="s">
        <v>327</v>
      </c>
      <c r="M28" s="66" t="s">
        <v>327</v>
      </c>
      <c r="N28" s="66"/>
      <c r="O28" s="66" t="s">
        <v>327</v>
      </c>
      <c r="P28" s="66" t="s">
        <v>327</v>
      </c>
      <c r="Q28" s="66" t="s">
        <v>327</v>
      </c>
      <c r="R28" s="66" t="s">
        <v>327</v>
      </c>
      <c r="S28" s="66" t="s">
        <v>327</v>
      </c>
      <c r="T28" s="66" t="s">
        <v>327</v>
      </c>
      <c r="U28" s="66"/>
      <c r="V28" s="66" t="s">
        <v>327</v>
      </c>
      <c r="W28" s="66" t="s">
        <v>327</v>
      </c>
      <c r="X28" s="66" t="s">
        <v>327</v>
      </c>
      <c r="Y28" s="66" t="s">
        <v>327</v>
      </c>
      <c r="Z28" s="66" t="s">
        <v>327</v>
      </c>
      <c r="AA28" s="66" t="s">
        <v>327</v>
      </c>
      <c r="AB28" s="66"/>
      <c r="AC28" s="66" t="s">
        <v>327</v>
      </c>
      <c r="AD28" s="66" t="s">
        <v>327</v>
      </c>
      <c r="AE28" s="66" t="s">
        <v>327</v>
      </c>
      <c r="AF28" s="66" t="s">
        <v>327</v>
      </c>
      <c r="AG28" s="66" t="s">
        <v>327</v>
      </c>
      <c r="AH28" s="66" t="s">
        <v>327</v>
      </c>
      <c r="AI28" s="66"/>
      <c r="AJ28" s="67">
        <f t="shared" si="3"/>
        <v>26</v>
      </c>
      <c r="AK28" s="67">
        <f t="shared" si="4"/>
        <v>0</v>
      </c>
      <c r="AL28" s="96">
        <v>2</v>
      </c>
      <c r="AM28" s="67">
        <f t="shared" si="2"/>
        <v>26</v>
      </c>
      <c r="AN28" s="10"/>
    </row>
    <row r="29" spans="1:40" x14ac:dyDescent="0.3">
      <c r="A29" s="10"/>
      <c r="B29" s="65" t="str">
        <f>'Salary Calculations'!C28</f>
        <v>AS2122</v>
      </c>
      <c r="C29" s="98" t="str">
        <f>'Salary Calculations'!D28</f>
        <v>WW</v>
      </c>
      <c r="D29" s="99"/>
      <c r="E29" s="66" t="s">
        <v>327</v>
      </c>
      <c r="F29" s="66" t="s">
        <v>327</v>
      </c>
      <c r="G29" s="66"/>
      <c r="H29" s="66" t="s">
        <v>327</v>
      </c>
      <c r="I29" s="66" t="s">
        <v>327</v>
      </c>
      <c r="J29" s="66" t="s">
        <v>327</v>
      </c>
      <c r="K29" s="66" t="s">
        <v>327</v>
      </c>
      <c r="L29" s="66" t="s">
        <v>327</v>
      </c>
      <c r="M29" s="66" t="s">
        <v>327</v>
      </c>
      <c r="N29" s="66"/>
      <c r="O29" s="66" t="s">
        <v>327</v>
      </c>
      <c r="P29" s="66" t="s">
        <v>327</v>
      </c>
      <c r="Q29" s="66" t="s">
        <v>327</v>
      </c>
      <c r="R29" s="66" t="s">
        <v>327</v>
      </c>
      <c r="S29" s="66" t="s">
        <v>327</v>
      </c>
      <c r="T29" s="66" t="s">
        <v>327</v>
      </c>
      <c r="U29" s="66"/>
      <c r="V29" s="66" t="s">
        <v>327</v>
      </c>
      <c r="W29" s="66" t="s">
        <v>327</v>
      </c>
      <c r="X29" s="66" t="s">
        <v>327</v>
      </c>
      <c r="Y29" s="66" t="s">
        <v>327</v>
      </c>
      <c r="Z29" s="66" t="s">
        <v>327</v>
      </c>
      <c r="AA29" s="66" t="s">
        <v>327</v>
      </c>
      <c r="AB29" s="66"/>
      <c r="AC29" s="66" t="s">
        <v>327</v>
      </c>
      <c r="AD29" s="66" t="s">
        <v>327</v>
      </c>
      <c r="AE29" s="66" t="s">
        <v>327</v>
      </c>
      <c r="AF29" s="66" t="s">
        <v>327</v>
      </c>
      <c r="AG29" s="66" t="s">
        <v>327</v>
      </c>
      <c r="AH29" s="66" t="s">
        <v>327</v>
      </c>
      <c r="AI29" s="66"/>
      <c r="AJ29" s="67">
        <f t="shared" si="3"/>
        <v>26</v>
      </c>
      <c r="AK29" s="67">
        <f t="shared" si="4"/>
        <v>0</v>
      </c>
      <c r="AL29" s="96">
        <v>2</v>
      </c>
      <c r="AM29" s="67">
        <f t="shared" si="2"/>
        <v>26</v>
      </c>
      <c r="AN29" s="10"/>
    </row>
    <row r="30" spans="1:40" x14ac:dyDescent="0.3">
      <c r="A30" s="10"/>
      <c r="B30" s="65" t="str">
        <f>'Salary Calculations'!C29</f>
        <v>AS2123</v>
      </c>
      <c r="C30" s="98" t="str">
        <f>'Salary Calculations'!D29</f>
        <v>XX</v>
      </c>
      <c r="D30" s="99"/>
      <c r="E30" s="66" t="s">
        <v>327</v>
      </c>
      <c r="F30" s="66" t="s">
        <v>327</v>
      </c>
      <c r="G30" s="66"/>
      <c r="H30" s="66" t="s">
        <v>327</v>
      </c>
      <c r="I30" s="66" t="s">
        <v>327</v>
      </c>
      <c r="J30" s="66" t="s">
        <v>327</v>
      </c>
      <c r="K30" s="66" t="s">
        <v>327</v>
      </c>
      <c r="L30" s="66" t="s">
        <v>327</v>
      </c>
      <c r="M30" s="66" t="s">
        <v>327</v>
      </c>
      <c r="N30" s="66"/>
      <c r="O30" s="66" t="s">
        <v>327</v>
      </c>
      <c r="P30" s="66" t="s">
        <v>327</v>
      </c>
      <c r="Q30" s="66" t="s">
        <v>327</v>
      </c>
      <c r="R30" s="66" t="s">
        <v>327</v>
      </c>
      <c r="S30" s="66" t="s">
        <v>327</v>
      </c>
      <c r="T30" s="66" t="s">
        <v>327</v>
      </c>
      <c r="U30" s="66"/>
      <c r="V30" s="66" t="s">
        <v>327</v>
      </c>
      <c r="W30" s="66" t="s">
        <v>327</v>
      </c>
      <c r="X30" s="66" t="s">
        <v>327</v>
      </c>
      <c r="Y30" s="66" t="s">
        <v>327</v>
      </c>
      <c r="Z30" s="66" t="s">
        <v>327</v>
      </c>
      <c r="AA30" s="66" t="s">
        <v>327</v>
      </c>
      <c r="AB30" s="66"/>
      <c r="AC30" s="66" t="s">
        <v>327</v>
      </c>
      <c r="AD30" s="66" t="s">
        <v>327</v>
      </c>
      <c r="AE30" s="66" t="s">
        <v>327</v>
      </c>
      <c r="AF30" s="66" t="s">
        <v>327</v>
      </c>
      <c r="AG30" s="66" t="s">
        <v>327</v>
      </c>
      <c r="AH30" s="66" t="s">
        <v>327</v>
      </c>
      <c r="AI30" s="66"/>
      <c r="AJ30" s="67">
        <f t="shared" si="3"/>
        <v>26</v>
      </c>
      <c r="AK30" s="67">
        <f t="shared" si="4"/>
        <v>0</v>
      </c>
      <c r="AL30" s="96">
        <v>2</v>
      </c>
      <c r="AM30" s="67">
        <f t="shared" si="2"/>
        <v>26</v>
      </c>
      <c r="AN30" s="10"/>
    </row>
    <row r="31" spans="1:40" x14ac:dyDescent="0.3">
      <c r="A31" s="10"/>
      <c r="B31" s="65" t="str">
        <f>'Salary Calculations'!C30</f>
        <v>AS2124</v>
      </c>
      <c r="C31" s="98" t="str">
        <f>'Salary Calculations'!D30</f>
        <v>YY</v>
      </c>
      <c r="D31" s="99"/>
      <c r="E31" s="66" t="s">
        <v>327</v>
      </c>
      <c r="F31" s="66" t="s">
        <v>327</v>
      </c>
      <c r="G31" s="66"/>
      <c r="H31" s="66" t="s">
        <v>327</v>
      </c>
      <c r="I31" s="66" t="s">
        <v>327</v>
      </c>
      <c r="J31" s="66" t="s">
        <v>327</v>
      </c>
      <c r="K31" s="66" t="s">
        <v>327</v>
      </c>
      <c r="L31" s="66" t="s">
        <v>327</v>
      </c>
      <c r="M31" s="66" t="s">
        <v>327</v>
      </c>
      <c r="N31" s="66"/>
      <c r="O31" s="66" t="s">
        <v>327</v>
      </c>
      <c r="P31" s="66" t="s">
        <v>327</v>
      </c>
      <c r="Q31" s="66" t="s">
        <v>327</v>
      </c>
      <c r="R31" s="66" t="s">
        <v>327</v>
      </c>
      <c r="S31" s="66" t="s">
        <v>327</v>
      </c>
      <c r="T31" s="66" t="s">
        <v>327</v>
      </c>
      <c r="U31" s="66"/>
      <c r="V31" s="66" t="s">
        <v>327</v>
      </c>
      <c r="W31" s="66" t="s">
        <v>327</v>
      </c>
      <c r="X31" s="66" t="s">
        <v>327</v>
      </c>
      <c r="Y31" s="66" t="s">
        <v>327</v>
      </c>
      <c r="Z31" s="66" t="s">
        <v>327</v>
      </c>
      <c r="AA31" s="66" t="s">
        <v>327</v>
      </c>
      <c r="AB31" s="66"/>
      <c r="AC31" s="66" t="s">
        <v>327</v>
      </c>
      <c r="AD31" s="66" t="s">
        <v>327</v>
      </c>
      <c r="AE31" s="66" t="s">
        <v>327</v>
      </c>
      <c r="AF31" s="66" t="s">
        <v>327</v>
      </c>
      <c r="AG31" s="66" t="s">
        <v>327</v>
      </c>
      <c r="AH31" s="66" t="s">
        <v>327</v>
      </c>
      <c r="AI31" s="66"/>
      <c r="AJ31" s="67">
        <f t="shared" si="3"/>
        <v>26</v>
      </c>
      <c r="AK31" s="67">
        <f t="shared" si="4"/>
        <v>0</v>
      </c>
      <c r="AL31" s="96">
        <v>2</v>
      </c>
      <c r="AM31" s="67">
        <f t="shared" si="2"/>
        <v>26</v>
      </c>
      <c r="AN31" s="10"/>
    </row>
    <row r="32" spans="1:40" x14ac:dyDescent="0.3">
      <c r="A32" s="10"/>
      <c r="B32" s="65" t="str">
        <f>'Salary Calculations'!C31</f>
        <v>AS2125</v>
      </c>
      <c r="C32" s="98" t="str">
        <f>'Salary Calculations'!D31</f>
        <v>ZZ</v>
      </c>
      <c r="D32" s="99"/>
      <c r="E32" s="66" t="s">
        <v>327</v>
      </c>
      <c r="F32" s="66" t="s">
        <v>327</v>
      </c>
      <c r="G32" s="66"/>
      <c r="H32" s="66" t="s">
        <v>327</v>
      </c>
      <c r="I32" s="66" t="s">
        <v>327</v>
      </c>
      <c r="J32" s="66" t="s">
        <v>327</v>
      </c>
      <c r="K32" s="66" t="s">
        <v>327</v>
      </c>
      <c r="L32" s="66" t="s">
        <v>327</v>
      </c>
      <c r="M32" s="66" t="s">
        <v>327</v>
      </c>
      <c r="N32" s="66"/>
      <c r="O32" s="66" t="s">
        <v>327</v>
      </c>
      <c r="P32" s="66" t="s">
        <v>327</v>
      </c>
      <c r="Q32" s="66" t="s">
        <v>327</v>
      </c>
      <c r="R32" s="66" t="s">
        <v>327</v>
      </c>
      <c r="S32" s="66" t="s">
        <v>327</v>
      </c>
      <c r="T32" s="66" t="s">
        <v>327</v>
      </c>
      <c r="U32" s="66"/>
      <c r="V32" s="66" t="s">
        <v>327</v>
      </c>
      <c r="W32" s="66" t="s">
        <v>327</v>
      </c>
      <c r="X32" s="66" t="s">
        <v>327</v>
      </c>
      <c r="Y32" s="66" t="s">
        <v>327</v>
      </c>
      <c r="Z32" s="66" t="s">
        <v>327</v>
      </c>
      <c r="AA32" s="66" t="s">
        <v>327</v>
      </c>
      <c r="AB32" s="66"/>
      <c r="AC32" s="66" t="s">
        <v>327</v>
      </c>
      <c r="AD32" s="66" t="s">
        <v>327</v>
      </c>
      <c r="AE32" s="66" t="s">
        <v>327</v>
      </c>
      <c r="AF32" s="66" t="s">
        <v>327</v>
      </c>
      <c r="AG32" s="66" t="s">
        <v>327</v>
      </c>
      <c r="AH32" s="66" t="s">
        <v>327</v>
      </c>
      <c r="AI32" s="66"/>
      <c r="AJ32" s="67">
        <f t="shared" si="3"/>
        <v>26</v>
      </c>
      <c r="AK32" s="67">
        <f t="shared" si="4"/>
        <v>0</v>
      </c>
      <c r="AL32" s="96">
        <v>2</v>
      </c>
      <c r="AM32" s="67">
        <f t="shared" si="2"/>
        <v>26</v>
      </c>
      <c r="AN32" s="10"/>
    </row>
    <row r="33" spans="1:40" x14ac:dyDescent="0.3">
      <c r="A33" s="10"/>
      <c r="B33" s="65" t="str">
        <f>'Salary Calculations'!C32</f>
        <v>AS2126</v>
      </c>
      <c r="C33" s="98" t="str">
        <f>'Salary Calculations'!D32</f>
        <v>QQ</v>
      </c>
      <c r="D33" s="99"/>
      <c r="E33" s="66" t="s">
        <v>327</v>
      </c>
      <c r="F33" s="66" t="s">
        <v>327</v>
      </c>
      <c r="G33" s="66"/>
      <c r="H33" s="66" t="s">
        <v>327</v>
      </c>
      <c r="I33" s="66" t="s">
        <v>327</v>
      </c>
      <c r="J33" s="66" t="s">
        <v>327</v>
      </c>
      <c r="K33" s="66" t="s">
        <v>327</v>
      </c>
      <c r="L33" s="66" t="s">
        <v>327</v>
      </c>
      <c r="M33" s="66" t="s">
        <v>327</v>
      </c>
      <c r="N33" s="66"/>
      <c r="O33" s="66" t="s">
        <v>327</v>
      </c>
      <c r="P33" s="66" t="s">
        <v>327</v>
      </c>
      <c r="Q33" s="66" t="s">
        <v>327</v>
      </c>
      <c r="R33" s="66" t="s">
        <v>327</v>
      </c>
      <c r="S33" s="66" t="s">
        <v>327</v>
      </c>
      <c r="T33" s="66" t="s">
        <v>327</v>
      </c>
      <c r="U33" s="66"/>
      <c r="V33" s="66" t="s">
        <v>327</v>
      </c>
      <c r="W33" s="66" t="s">
        <v>327</v>
      </c>
      <c r="X33" s="66" t="s">
        <v>327</v>
      </c>
      <c r="Y33" s="66" t="s">
        <v>327</v>
      </c>
      <c r="Z33" s="66" t="s">
        <v>327</v>
      </c>
      <c r="AA33" s="66" t="s">
        <v>327</v>
      </c>
      <c r="AB33" s="66"/>
      <c r="AC33" s="66" t="s">
        <v>327</v>
      </c>
      <c r="AD33" s="66" t="s">
        <v>327</v>
      </c>
      <c r="AE33" s="66" t="s">
        <v>327</v>
      </c>
      <c r="AF33" s="66" t="s">
        <v>327</v>
      </c>
      <c r="AG33" s="66" t="s">
        <v>327</v>
      </c>
      <c r="AH33" s="66" t="s">
        <v>327</v>
      </c>
      <c r="AI33" s="66"/>
      <c r="AJ33" s="67">
        <f t="shared" si="3"/>
        <v>26</v>
      </c>
      <c r="AK33" s="67">
        <f t="shared" si="4"/>
        <v>0</v>
      </c>
      <c r="AL33" s="96">
        <v>2</v>
      </c>
      <c r="AM33" s="67">
        <f t="shared" si="2"/>
        <v>26</v>
      </c>
      <c r="AN33" s="10"/>
    </row>
    <row r="34" spans="1:40" x14ac:dyDescent="0.3">
      <c r="A34" s="10"/>
      <c r="B34" s="65" t="str">
        <f>'Salary Calculations'!C33</f>
        <v>AS2127</v>
      </c>
      <c r="C34" s="98" t="str">
        <f>'Salary Calculations'!D33</f>
        <v>AA</v>
      </c>
      <c r="D34" s="99"/>
      <c r="E34" s="66" t="s">
        <v>327</v>
      </c>
      <c r="F34" s="66" t="s">
        <v>327</v>
      </c>
      <c r="G34" s="66"/>
      <c r="H34" s="66" t="s">
        <v>327</v>
      </c>
      <c r="I34" s="66" t="s">
        <v>327</v>
      </c>
      <c r="J34" s="66" t="s">
        <v>327</v>
      </c>
      <c r="K34" s="66" t="s">
        <v>327</v>
      </c>
      <c r="L34" s="66" t="s">
        <v>327</v>
      </c>
      <c r="M34" s="66" t="s">
        <v>327</v>
      </c>
      <c r="N34" s="66"/>
      <c r="O34" s="66" t="s">
        <v>327</v>
      </c>
      <c r="P34" s="66" t="s">
        <v>327</v>
      </c>
      <c r="Q34" s="66" t="s">
        <v>327</v>
      </c>
      <c r="R34" s="66" t="s">
        <v>327</v>
      </c>
      <c r="S34" s="66" t="s">
        <v>327</v>
      </c>
      <c r="T34" s="66" t="s">
        <v>327</v>
      </c>
      <c r="U34" s="66"/>
      <c r="V34" s="66" t="s">
        <v>327</v>
      </c>
      <c r="W34" s="66" t="s">
        <v>327</v>
      </c>
      <c r="X34" s="66" t="s">
        <v>327</v>
      </c>
      <c r="Y34" s="66" t="s">
        <v>327</v>
      </c>
      <c r="Z34" s="66" t="s">
        <v>327</v>
      </c>
      <c r="AA34" s="66" t="s">
        <v>327</v>
      </c>
      <c r="AB34" s="66"/>
      <c r="AC34" s="66" t="s">
        <v>327</v>
      </c>
      <c r="AD34" s="66" t="s">
        <v>327</v>
      </c>
      <c r="AE34" s="66" t="s">
        <v>327</v>
      </c>
      <c r="AF34" s="66" t="s">
        <v>327</v>
      </c>
      <c r="AG34" s="66" t="s">
        <v>327</v>
      </c>
      <c r="AH34" s="66" t="s">
        <v>327</v>
      </c>
      <c r="AI34" s="66"/>
      <c r="AJ34" s="67">
        <f t="shared" si="3"/>
        <v>26</v>
      </c>
      <c r="AK34" s="67">
        <f t="shared" si="4"/>
        <v>0</v>
      </c>
      <c r="AL34" s="96">
        <v>2</v>
      </c>
      <c r="AM34" s="67">
        <f t="shared" si="2"/>
        <v>26</v>
      </c>
      <c r="AN34" s="10"/>
    </row>
    <row r="35" spans="1:40" x14ac:dyDescent="0.3">
      <c r="A35" s="10"/>
      <c r="B35" s="65" t="str">
        <f>'Salary Calculations'!C34</f>
        <v>AS2128</v>
      </c>
      <c r="C35" s="98" t="str">
        <f>'Salary Calculations'!D34</f>
        <v>AB</v>
      </c>
      <c r="D35" s="99"/>
      <c r="E35" s="66" t="s">
        <v>327</v>
      </c>
      <c r="F35" s="66" t="s">
        <v>327</v>
      </c>
      <c r="G35" s="66"/>
      <c r="H35" s="66" t="s">
        <v>327</v>
      </c>
      <c r="I35" s="66" t="s">
        <v>327</v>
      </c>
      <c r="J35" s="66" t="s">
        <v>327</v>
      </c>
      <c r="K35" s="66" t="s">
        <v>327</v>
      </c>
      <c r="L35" s="66" t="s">
        <v>327</v>
      </c>
      <c r="M35" s="66" t="s">
        <v>327</v>
      </c>
      <c r="N35" s="66"/>
      <c r="O35" s="66" t="s">
        <v>327</v>
      </c>
      <c r="P35" s="66" t="s">
        <v>327</v>
      </c>
      <c r="Q35" s="66" t="s">
        <v>327</v>
      </c>
      <c r="R35" s="66" t="s">
        <v>327</v>
      </c>
      <c r="S35" s="66" t="s">
        <v>327</v>
      </c>
      <c r="T35" s="66" t="s">
        <v>327</v>
      </c>
      <c r="U35" s="66"/>
      <c r="V35" s="66" t="s">
        <v>327</v>
      </c>
      <c r="W35" s="66" t="s">
        <v>327</v>
      </c>
      <c r="X35" s="66" t="s">
        <v>327</v>
      </c>
      <c r="Y35" s="66" t="s">
        <v>327</v>
      </c>
      <c r="Z35" s="66" t="s">
        <v>327</v>
      </c>
      <c r="AA35" s="66" t="s">
        <v>327</v>
      </c>
      <c r="AB35" s="66"/>
      <c r="AC35" s="66" t="s">
        <v>327</v>
      </c>
      <c r="AD35" s="66" t="s">
        <v>327</v>
      </c>
      <c r="AE35" s="66" t="s">
        <v>327</v>
      </c>
      <c r="AF35" s="66" t="s">
        <v>327</v>
      </c>
      <c r="AG35" s="66" t="s">
        <v>327</v>
      </c>
      <c r="AH35" s="66" t="s">
        <v>327</v>
      </c>
      <c r="AI35" s="66"/>
      <c r="AJ35" s="67">
        <f t="shared" si="3"/>
        <v>26</v>
      </c>
      <c r="AK35" s="67">
        <f t="shared" si="4"/>
        <v>0</v>
      </c>
      <c r="AL35" s="96">
        <v>2</v>
      </c>
      <c r="AM35" s="67">
        <f t="shared" si="2"/>
        <v>26</v>
      </c>
      <c r="AN35" s="10"/>
    </row>
    <row r="36" spans="1:40" x14ac:dyDescent="0.3">
      <c r="A36" s="10"/>
      <c r="B36" s="65" t="str">
        <f>'Salary Calculations'!C35</f>
        <v>AS2129</v>
      </c>
      <c r="C36" s="98" t="str">
        <f>'Salary Calculations'!D35</f>
        <v>AC</v>
      </c>
      <c r="D36" s="99"/>
      <c r="E36" s="66" t="s">
        <v>327</v>
      </c>
      <c r="F36" s="66" t="s">
        <v>327</v>
      </c>
      <c r="G36" s="66"/>
      <c r="H36" s="66" t="s">
        <v>327</v>
      </c>
      <c r="I36" s="66" t="s">
        <v>327</v>
      </c>
      <c r="J36" s="66" t="s">
        <v>327</v>
      </c>
      <c r="K36" s="66" t="s">
        <v>327</v>
      </c>
      <c r="L36" s="66" t="s">
        <v>327</v>
      </c>
      <c r="M36" s="66" t="s">
        <v>327</v>
      </c>
      <c r="N36" s="66"/>
      <c r="O36" s="66" t="s">
        <v>327</v>
      </c>
      <c r="P36" s="66" t="s">
        <v>327</v>
      </c>
      <c r="Q36" s="66" t="s">
        <v>327</v>
      </c>
      <c r="R36" s="66" t="s">
        <v>327</v>
      </c>
      <c r="S36" s="66" t="s">
        <v>327</v>
      </c>
      <c r="T36" s="66" t="s">
        <v>327</v>
      </c>
      <c r="U36" s="66"/>
      <c r="V36" s="66" t="s">
        <v>327</v>
      </c>
      <c r="W36" s="66" t="s">
        <v>327</v>
      </c>
      <c r="X36" s="66" t="s">
        <v>327</v>
      </c>
      <c r="Y36" s="66" t="s">
        <v>327</v>
      </c>
      <c r="Z36" s="66" t="s">
        <v>327</v>
      </c>
      <c r="AA36" s="66" t="s">
        <v>327</v>
      </c>
      <c r="AB36" s="66"/>
      <c r="AC36" s="66" t="s">
        <v>327</v>
      </c>
      <c r="AD36" s="66" t="s">
        <v>327</v>
      </c>
      <c r="AE36" s="66" t="s">
        <v>327</v>
      </c>
      <c r="AF36" s="66" t="s">
        <v>327</v>
      </c>
      <c r="AG36" s="66" t="s">
        <v>327</v>
      </c>
      <c r="AH36" s="66" t="s">
        <v>327</v>
      </c>
      <c r="AI36" s="66"/>
      <c r="AJ36" s="67">
        <f t="shared" si="3"/>
        <v>26</v>
      </c>
      <c r="AK36" s="67">
        <f t="shared" si="4"/>
        <v>0</v>
      </c>
      <c r="AL36" s="96">
        <v>2</v>
      </c>
      <c r="AM36" s="67">
        <f t="shared" si="2"/>
        <v>26</v>
      </c>
      <c r="AN36" s="10"/>
    </row>
    <row r="37" spans="1:40" x14ac:dyDescent="0.3">
      <c r="A37" s="10"/>
      <c r="B37" s="65" t="str">
        <f>'Salary Calculations'!C36</f>
        <v>AS2130</v>
      </c>
      <c r="C37" s="98" t="str">
        <f>'Salary Calculations'!D36</f>
        <v>AD</v>
      </c>
      <c r="D37" s="99"/>
      <c r="E37" s="66" t="s">
        <v>327</v>
      </c>
      <c r="F37" s="66" t="s">
        <v>327</v>
      </c>
      <c r="G37" s="66"/>
      <c r="H37" s="66" t="s">
        <v>327</v>
      </c>
      <c r="I37" s="66" t="s">
        <v>327</v>
      </c>
      <c r="J37" s="66" t="s">
        <v>327</v>
      </c>
      <c r="K37" s="66" t="s">
        <v>327</v>
      </c>
      <c r="L37" s="66" t="s">
        <v>327</v>
      </c>
      <c r="M37" s="66" t="s">
        <v>327</v>
      </c>
      <c r="N37" s="66"/>
      <c r="O37" s="66" t="s">
        <v>327</v>
      </c>
      <c r="P37" s="66" t="s">
        <v>327</v>
      </c>
      <c r="Q37" s="66" t="s">
        <v>327</v>
      </c>
      <c r="R37" s="66" t="s">
        <v>327</v>
      </c>
      <c r="S37" s="66" t="s">
        <v>327</v>
      </c>
      <c r="T37" s="66" t="s">
        <v>327</v>
      </c>
      <c r="U37" s="66"/>
      <c r="V37" s="66" t="s">
        <v>327</v>
      </c>
      <c r="W37" s="66" t="s">
        <v>327</v>
      </c>
      <c r="X37" s="66" t="s">
        <v>327</v>
      </c>
      <c r="Y37" s="66" t="s">
        <v>327</v>
      </c>
      <c r="Z37" s="66" t="s">
        <v>327</v>
      </c>
      <c r="AA37" s="66" t="s">
        <v>327</v>
      </c>
      <c r="AB37" s="66"/>
      <c r="AC37" s="66" t="s">
        <v>327</v>
      </c>
      <c r="AD37" s="66" t="s">
        <v>327</v>
      </c>
      <c r="AE37" s="66" t="s">
        <v>327</v>
      </c>
      <c r="AF37" s="66" t="s">
        <v>327</v>
      </c>
      <c r="AG37" s="66" t="s">
        <v>327</v>
      </c>
      <c r="AH37" s="66" t="s">
        <v>327</v>
      </c>
      <c r="AI37" s="66"/>
      <c r="AJ37" s="67">
        <f t="shared" si="3"/>
        <v>26</v>
      </c>
      <c r="AK37" s="67">
        <f t="shared" si="4"/>
        <v>0</v>
      </c>
      <c r="AL37" s="96">
        <v>2</v>
      </c>
      <c r="AM37" s="67">
        <f t="shared" si="2"/>
        <v>26</v>
      </c>
      <c r="AN37" s="10"/>
    </row>
    <row r="38" spans="1:40" x14ac:dyDescent="0.3">
      <c r="A38" s="10"/>
      <c r="B38" s="65" t="str">
        <f>'Salary Calculations'!C37</f>
        <v>AS2131</v>
      </c>
      <c r="C38" s="98" t="str">
        <f>'Salary Calculations'!D37</f>
        <v>AE</v>
      </c>
      <c r="D38" s="99"/>
      <c r="E38" s="66" t="s">
        <v>327</v>
      </c>
      <c r="F38" s="66" t="s">
        <v>327</v>
      </c>
      <c r="G38" s="66"/>
      <c r="H38" s="66" t="s">
        <v>327</v>
      </c>
      <c r="I38" s="66" t="s">
        <v>327</v>
      </c>
      <c r="J38" s="66" t="s">
        <v>327</v>
      </c>
      <c r="K38" s="66" t="s">
        <v>327</v>
      </c>
      <c r="L38" s="66" t="s">
        <v>327</v>
      </c>
      <c r="M38" s="66" t="s">
        <v>327</v>
      </c>
      <c r="N38" s="66"/>
      <c r="O38" s="66" t="s">
        <v>327</v>
      </c>
      <c r="P38" s="66" t="s">
        <v>327</v>
      </c>
      <c r="Q38" s="66" t="s">
        <v>327</v>
      </c>
      <c r="R38" s="66" t="s">
        <v>327</v>
      </c>
      <c r="S38" s="66" t="s">
        <v>327</v>
      </c>
      <c r="T38" s="66" t="s">
        <v>327</v>
      </c>
      <c r="U38" s="66"/>
      <c r="V38" s="66" t="s">
        <v>327</v>
      </c>
      <c r="W38" s="66" t="s">
        <v>327</v>
      </c>
      <c r="X38" s="66" t="s">
        <v>327</v>
      </c>
      <c r="Y38" s="66" t="s">
        <v>327</v>
      </c>
      <c r="Z38" s="66" t="s">
        <v>327</v>
      </c>
      <c r="AA38" s="66" t="s">
        <v>327</v>
      </c>
      <c r="AB38" s="66"/>
      <c r="AC38" s="66" t="s">
        <v>327</v>
      </c>
      <c r="AD38" s="66" t="s">
        <v>327</v>
      </c>
      <c r="AE38" s="66" t="s">
        <v>327</v>
      </c>
      <c r="AF38" s="66" t="s">
        <v>327</v>
      </c>
      <c r="AG38" s="66" t="s">
        <v>327</v>
      </c>
      <c r="AH38" s="66" t="s">
        <v>327</v>
      </c>
      <c r="AI38" s="66"/>
      <c r="AJ38" s="67">
        <f t="shared" si="3"/>
        <v>26</v>
      </c>
      <c r="AK38" s="67">
        <f t="shared" si="4"/>
        <v>0</v>
      </c>
      <c r="AL38" s="96">
        <v>2</v>
      </c>
      <c r="AM38" s="67">
        <f t="shared" si="2"/>
        <v>26</v>
      </c>
      <c r="AN38" s="10"/>
    </row>
    <row r="39" spans="1:40" x14ac:dyDescent="0.3">
      <c r="A39" s="10"/>
      <c r="B39" s="65" t="str">
        <f>'Salary Calculations'!C38</f>
        <v>AS2132</v>
      </c>
      <c r="C39" s="98" t="str">
        <f>'Salary Calculations'!D38</f>
        <v>AF</v>
      </c>
      <c r="D39" s="99"/>
      <c r="E39" s="66" t="s">
        <v>327</v>
      </c>
      <c r="F39" s="66" t="s">
        <v>327</v>
      </c>
      <c r="G39" s="66"/>
      <c r="H39" s="66" t="s">
        <v>327</v>
      </c>
      <c r="I39" s="66" t="s">
        <v>327</v>
      </c>
      <c r="J39" s="66" t="s">
        <v>327</v>
      </c>
      <c r="K39" s="66" t="s">
        <v>327</v>
      </c>
      <c r="L39" s="66" t="s">
        <v>327</v>
      </c>
      <c r="M39" s="66" t="s">
        <v>327</v>
      </c>
      <c r="N39" s="66"/>
      <c r="O39" s="66" t="s">
        <v>327</v>
      </c>
      <c r="P39" s="66" t="s">
        <v>327</v>
      </c>
      <c r="Q39" s="66" t="s">
        <v>327</v>
      </c>
      <c r="R39" s="66" t="s">
        <v>327</v>
      </c>
      <c r="S39" s="66" t="s">
        <v>327</v>
      </c>
      <c r="T39" s="66" t="s">
        <v>327</v>
      </c>
      <c r="U39" s="66"/>
      <c r="V39" s="66" t="s">
        <v>327</v>
      </c>
      <c r="W39" s="66" t="s">
        <v>327</v>
      </c>
      <c r="X39" s="66" t="s">
        <v>327</v>
      </c>
      <c r="Y39" s="66" t="s">
        <v>327</v>
      </c>
      <c r="Z39" s="66" t="s">
        <v>327</v>
      </c>
      <c r="AA39" s="66" t="s">
        <v>327</v>
      </c>
      <c r="AB39" s="66"/>
      <c r="AC39" s="66" t="s">
        <v>327</v>
      </c>
      <c r="AD39" s="66" t="s">
        <v>327</v>
      </c>
      <c r="AE39" s="66" t="s">
        <v>327</v>
      </c>
      <c r="AF39" s="66" t="s">
        <v>327</v>
      </c>
      <c r="AG39" s="66" t="s">
        <v>327</v>
      </c>
      <c r="AH39" s="66" t="s">
        <v>327</v>
      </c>
      <c r="AI39" s="66"/>
      <c r="AJ39" s="67">
        <f t="shared" si="3"/>
        <v>26</v>
      </c>
      <c r="AK39" s="67">
        <f t="shared" si="4"/>
        <v>0</v>
      </c>
      <c r="AL39" s="96">
        <v>2</v>
      </c>
      <c r="AM39" s="67">
        <f t="shared" si="2"/>
        <v>26</v>
      </c>
      <c r="AN39" s="10"/>
    </row>
    <row r="40" spans="1:40" x14ac:dyDescent="0.3">
      <c r="A40" s="10"/>
      <c r="B40" s="65" t="str">
        <f>'Salary Calculations'!C39</f>
        <v>AS2133</v>
      </c>
      <c r="C40" s="98" t="str">
        <f>'Salary Calculations'!D39</f>
        <v>AG</v>
      </c>
      <c r="D40" s="99"/>
      <c r="E40" s="66" t="s">
        <v>327</v>
      </c>
      <c r="F40" s="66" t="s">
        <v>327</v>
      </c>
      <c r="G40" s="66"/>
      <c r="H40" s="66" t="s">
        <v>327</v>
      </c>
      <c r="I40" s="66" t="s">
        <v>327</v>
      </c>
      <c r="J40" s="66" t="s">
        <v>327</v>
      </c>
      <c r="K40" s="66" t="s">
        <v>327</v>
      </c>
      <c r="L40" s="66" t="s">
        <v>327</v>
      </c>
      <c r="M40" s="66" t="s">
        <v>327</v>
      </c>
      <c r="N40" s="66"/>
      <c r="O40" s="66" t="s">
        <v>327</v>
      </c>
      <c r="P40" s="66" t="s">
        <v>327</v>
      </c>
      <c r="Q40" s="66" t="s">
        <v>327</v>
      </c>
      <c r="R40" s="66" t="s">
        <v>327</v>
      </c>
      <c r="S40" s="66" t="s">
        <v>327</v>
      </c>
      <c r="T40" s="66" t="s">
        <v>327</v>
      </c>
      <c r="U40" s="66"/>
      <c r="V40" s="66" t="s">
        <v>327</v>
      </c>
      <c r="W40" s="66" t="s">
        <v>327</v>
      </c>
      <c r="X40" s="66" t="s">
        <v>327</v>
      </c>
      <c r="Y40" s="66" t="s">
        <v>327</v>
      </c>
      <c r="Z40" s="66" t="s">
        <v>327</v>
      </c>
      <c r="AA40" s="66" t="s">
        <v>327</v>
      </c>
      <c r="AB40" s="66"/>
      <c r="AC40" s="66" t="s">
        <v>327</v>
      </c>
      <c r="AD40" s="66" t="s">
        <v>327</v>
      </c>
      <c r="AE40" s="66" t="s">
        <v>327</v>
      </c>
      <c r="AF40" s="66" t="s">
        <v>327</v>
      </c>
      <c r="AG40" s="66" t="s">
        <v>327</v>
      </c>
      <c r="AH40" s="66" t="s">
        <v>327</v>
      </c>
      <c r="AI40" s="66"/>
      <c r="AJ40" s="67">
        <f t="shared" si="3"/>
        <v>26</v>
      </c>
      <c r="AK40" s="67">
        <f t="shared" si="4"/>
        <v>0</v>
      </c>
      <c r="AL40" s="96">
        <v>2</v>
      </c>
      <c r="AM40" s="67">
        <f t="shared" si="2"/>
        <v>26</v>
      </c>
      <c r="AN40" s="10"/>
    </row>
    <row r="41" spans="1:40" x14ac:dyDescent="0.3">
      <c r="A41" s="10"/>
      <c r="B41" s="65" t="str">
        <f>'Salary Calculations'!C40</f>
        <v>AS2134</v>
      </c>
      <c r="C41" s="98" t="str">
        <f>'Salary Calculations'!D40</f>
        <v>AH</v>
      </c>
      <c r="D41" s="99"/>
      <c r="E41" s="66" t="s">
        <v>327</v>
      </c>
      <c r="F41" s="66" t="s">
        <v>327</v>
      </c>
      <c r="G41" s="66"/>
      <c r="H41" s="66" t="s">
        <v>327</v>
      </c>
      <c r="I41" s="66" t="s">
        <v>327</v>
      </c>
      <c r="J41" s="66" t="s">
        <v>327</v>
      </c>
      <c r="K41" s="66" t="s">
        <v>327</v>
      </c>
      <c r="L41" s="66" t="s">
        <v>327</v>
      </c>
      <c r="M41" s="66" t="s">
        <v>327</v>
      </c>
      <c r="N41" s="66"/>
      <c r="O41" s="66" t="s">
        <v>327</v>
      </c>
      <c r="P41" s="66" t="s">
        <v>327</v>
      </c>
      <c r="Q41" s="66" t="s">
        <v>327</v>
      </c>
      <c r="R41" s="66" t="s">
        <v>327</v>
      </c>
      <c r="S41" s="66" t="s">
        <v>327</v>
      </c>
      <c r="T41" s="66" t="s">
        <v>327</v>
      </c>
      <c r="U41" s="66"/>
      <c r="V41" s="66" t="s">
        <v>327</v>
      </c>
      <c r="W41" s="66" t="s">
        <v>327</v>
      </c>
      <c r="X41" s="66" t="s">
        <v>327</v>
      </c>
      <c r="Y41" s="66" t="s">
        <v>327</v>
      </c>
      <c r="Z41" s="66" t="s">
        <v>327</v>
      </c>
      <c r="AA41" s="66" t="s">
        <v>327</v>
      </c>
      <c r="AB41" s="66"/>
      <c r="AC41" s="66" t="s">
        <v>327</v>
      </c>
      <c r="AD41" s="66" t="s">
        <v>327</v>
      </c>
      <c r="AE41" s="66" t="s">
        <v>327</v>
      </c>
      <c r="AF41" s="66" t="s">
        <v>327</v>
      </c>
      <c r="AG41" s="66" t="s">
        <v>327</v>
      </c>
      <c r="AH41" s="66" t="s">
        <v>327</v>
      </c>
      <c r="AI41" s="66"/>
      <c r="AJ41" s="67">
        <f t="shared" si="3"/>
        <v>26</v>
      </c>
      <c r="AK41" s="67">
        <f t="shared" si="4"/>
        <v>0</v>
      </c>
      <c r="AL41" s="96">
        <v>2</v>
      </c>
      <c r="AM41" s="67">
        <f t="shared" si="2"/>
        <v>26</v>
      </c>
      <c r="AN41" s="10"/>
    </row>
    <row r="42" spans="1:40" x14ac:dyDescent="0.3">
      <c r="A42" s="10"/>
      <c r="B42" s="65" t="str">
        <f>'Salary Calculations'!C41</f>
        <v>AS2135</v>
      </c>
      <c r="C42" s="98" t="str">
        <f>'Salary Calculations'!D41</f>
        <v>AI</v>
      </c>
      <c r="D42" s="99"/>
      <c r="E42" s="66" t="s">
        <v>327</v>
      </c>
      <c r="F42" s="66" t="s">
        <v>327</v>
      </c>
      <c r="G42" s="66"/>
      <c r="H42" s="66" t="s">
        <v>327</v>
      </c>
      <c r="I42" s="66" t="s">
        <v>327</v>
      </c>
      <c r="J42" s="66" t="s">
        <v>327</v>
      </c>
      <c r="K42" s="66" t="s">
        <v>327</v>
      </c>
      <c r="L42" s="66" t="s">
        <v>327</v>
      </c>
      <c r="M42" s="66" t="s">
        <v>327</v>
      </c>
      <c r="N42" s="66"/>
      <c r="O42" s="66" t="s">
        <v>327</v>
      </c>
      <c r="P42" s="66" t="s">
        <v>327</v>
      </c>
      <c r="Q42" s="66" t="s">
        <v>327</v>
      </c>
      <c r="R42" s="66" t="s">
        <v>327</v>
      </c>
      <c r="S42" s="66" t="s">
        <v>327</v>
      </c>
      <c r="T42" s="66" t="s">
        <v>327</v>
      </c>
      <c r="U42" s="66"/>
      <c r="V42" s="66" t="s">
        <v>327</v>
      </c>
      <c r="W42" s="66" t="s">
        <v>327</v>
      </c>
      <c r="X42" s="66" t="s">
        <v>327</v>
      </c>
      <c r="Y42" s="66" t="s">
        <v>327</v>
      </c>
      <c r="Z42" s="66" t="s">
        <v>327</v>
      </c>
      <c r="AA42" s="66" t="s">
        <v>327</v>
      </c>
      <c r="AB42" s="66"/>
      <c r="AC42" s="66" t="s">
        <v>327</v>
      </c>
      <c r="AD42" s="66" t="s">
        <v>327</v>
      </c>
      <c r="AE42" s="66" t="s">
        <v>327</v>
      </c>
      <c r="AF42" s="66" t="s">
        <v>327</v>
      </c>
      <c r="AG42" s="66" t="s">
        <v>327</v>
      </c>
      <c r="AH42" s="66" t="s">
        <v>327</v>
      </c>
      <c r="AI42" s="66"/>
      <c r="AJ42" s="67">
        <f t="shared" si="3"/>
        <v>26</v>
      </c>
      <c r="AK42" s="67">
        <f t="shared" si="4"/>
        <v>0</v>
      </c>
      <c r="AL42" s="96">
        <v>2</v>
      </c>
      <c r="AM42" s="67">
        <f t="shared" si="2"/>
        <v>26</v>
      </c>
      <c r="AN42" s="10"/>
    </row>
    <row r="43" spans="1:40" x14ac:dyDescent="0.3">
      <c r="A43" s="10"/>
      <c r="B43" s="65" t="str">
        <f>'Salary Calculations'!C42</f>
        <v>AS2136</v>
      </c>
      <c r="C43" s="98" t="str">
        <f>'Salary Calculations'!D42</f>
        <v>AJ</v>
      </c>
      <c r="D43" s="99"/>
      <c r="E43" s="66" t="s">
        <v>327</v>
      </c>
      <c r="F43" s="66" t="s">
        <v>327</v>
      </c>
      <c r="G43" s="66"/>
      <c r="H43" s="66" t="s">
        <v>327</v>
      </c>
      <c r="I43" s="66" t="s">
        <v>327</v>
      </c>
      <c r="J43" s="66" t="s">
        <v>327</v>
      </c>
      <c r="K43" s="66" t="s">
        <v>327</v>
      </c>
      <c r="L43" s="66" t="s">
        <v>327</v>
      </c>
      <c r="M43" s="66" t="s">
        <v>327</v>
      </c>
      <c r="N43" s="66"/>
      <c r="O43" s="66" t="s">
        <v>327</v>
      </c>
      <c r="P43" s="66" t="s">
        <v>327</v>
      </c>
      <c r="Q43" s="66" t="s">
        <v>327</v>
      </c>
      <c r="R43" s="66" t="s">
        <v>327</v>
      </c>
      <c r="S43" s="66" t="s">
        <v>327</v>
      </c>
      <c r="T43" s="66" t="s">
        <v>327</v>
      </c>
      <c r="U43" s="66"/>
      <c r="V43" s="66" t="s">
        <v>327</v>
      </c>
      <c r="W43" s="66" t="s">
        <v>327</v>
      </c>
      <c r="X43" s="66" t="s">
        <v>327</v>
      </c>
      <c r="Y43" s="66" t="s">
        <v>327</v>
      </c>
      <c r="Z43" s="66" t="s">
        <v>327</v>
      </c>
      <c r="AA43" s="66" t="s">
        <v>327</v>
      </c>
      <c r="AB43" s="66"/>
      <c r="AC43" s="66" t="s">
        <v>327</v>
      </c>
      <c r="AD43" s="66" t="s">
        <v>327</v>
      </c>
      <c r="AE43" s="66" t="s">
        <v>327</v>
      </c>
      <c r="AF43" s="66" t="s">
        <v>327</v>
      </c>
      <c r="AG43" s="66" t="s">
        <v>327</v>
      </c>
      <c r="AH43" s="66" t="s">
        <v>327</v>
      </c>
      <c r="AI43" s="66"/>
      <c r="AJ43" s="67">
        <f t="shared" si="3"/>
        <v>26</v>
      </c>
      <c r="AK43" s="67">
        <f t="shared" si="4"/>
        <v>0</v>
      </c>
      <c r="AL43" s="96">
        <v>2</v>
      </c>
      <c r="AM43" s="67">
        <f t="shared" si="2"/>
        <v>26</v>
      </c>
      <c r="AN43" s="10"/>
    </row>
    <row r="44" spans="1:40" x14ac:dyDescent="0.3">
      <c r="A44" s="10"/>
      <c r="B44" s="65" t="str">
        <f>'Salary Calculations'!C43</f>
        <v>AS2137</v>
      </c>
      <c r="C44" s="98" t="str">
        <f>'Salary Calculations'!D43</f>
        <v>AK</v>
      </c>
      <c r="D44" s="99"/>
      <c r="E44" s="66" t="s">
        <v>327</v>
      </c>
      <c r="F44" s="66" t="s">
        <v>327</v>
      </c>
      <c r="G44" s="66"/>
      <c r="H44" s="66" t="s">
        <v>327</v>
      </c>
      <c r="I44" s="66" t="s">
        <v>327</v>
      </c>
      <c r="J44" s="66" t="s">
        <v>327</v>
      </c>
      <c r="K44" s="66" t="s">
        <v>327</v>
      </c>
      <c r="L44" s="66" t="s">
        <v>327</v>
      </c>
      <c r="M44" s="66" t="s">
        <v>327</v>
      </c>
      <c r="N44" s="66"/>
      <c r="O44" s="66" t="s">
        <v>327</v>
      </c>
      <c r="P44" s="66" t="s">
        <v>327</v>
      </c>
      <c r="Q44" s="66" t="s">
        <v>327</v>
      </c>
      <c r="R44" s="66" t="s">
        <v>327</v>
      </c>
      <c r="S44" s="66" t="s">
        <v>327</v>
      </c>
      <c r="T44" s="66" t="s">
        <v>327</v>
      </c>
      <c r="U44" s="66"/>
      <c r="V44" s="66" t="s">
        <v>327</v>
      </c>
      <c r="W44" s="66" t="s">
        <v>327</v>
      </c>
      <c r="X44" s="66" t="s">
        <v>327</v>
      </c>
      <c r="Y44" s="66" t="s">
        <v>327</v>
      </c>
      <c r="Z44" s="66" t="s">
        <v>327</v>
      </c>
      <c r="AA44" s="66" t="s">
        <v>327</v>
      </c>
      <c r="AB44" s="66"/>
      <c r="AC44" s="66" t="s">
        <v>327</v>
      </c>
      <c r="AD44" s="66" t="s">
        <v>327</v>
      </c>
      <c r="AE44" s="66" t="s">
        <v>327</v>
      </c>
      <c r="AF44" s="66" t="s">
        <v>327</v>
      </c>
      <c r="AG44" s="66" t="s">
        <v>327</v>
      </c>
      <c r="AH44" s="66" t="s">
        <v>327</v>
      </c>
      <c r="AI44" s="66"/>
      <c r="AJ44" s="67">
        <f t="shared" si="3"/>
        <v>26</v>
      </c>
      <c r="AK44" s="67">
        <f t="shared" si="4"/>
        <v>0</v>
      </c>
      <c r="AL44" s="96">
        <v>2</v>
      </c>
      <c r="AM44" s="67">
        <f t="shared" si="2"/>
        <v>26</v>
      </c>
      <c r="AN44" s="10"/>
    </row>
    <row r="45" spans="1:40" x14ac:dyDescent="0.3">
      <c r="A45" s="10"/>
      <c r="B45" s="65" t="str">
        <f>'Salary Calculations'!C44</f>
        <v>AS2138</v>
      </c>
      <c r="C45" s="98" t="str">
        <f>'Salary Calculations'!D44</f>
        <v>AL</v>
      </c>
      <c r="D45" s="99"/>
      <c r="E45" s="66" t="s">
        <v>327</v>
      </c>
      <c r="F45" s="66" t="s">
        <v>327</v>
      </c>
      <c r="G45" s="66"/>
      <c r="H45" s="66" t="s">
        <v>327</v>
      </c>
      <c r="I45" s="66" t="s">
        <v>327</v>
      </c>
      <c r="J45" s="66" t="s">
        <v>327</v>
      </c>
      <c r="K45" s="66" t="s">
        <v>327</v>
      </c>
      <c r="L45" s="66" t="s">
        <v>327</v>
      </c>
      <c r="M45" s="66" t="s">
        <v>327</v>
      </c>
      <c r="N45" s="66"/>
      <c r="O45" s="66" t="s">
        <v>327</v>
      </c>
      <c r="P45" s="66" t="s">
        <v>327</v>
      </c>
      <c r="Q45" s="66" t="s">
        <v>327</v>
      </c>
      <c r="R45" s="66" t="s">
        <v>327</v>
      </c>
      <c r="S45" s="66" t="s">
        <v>327</v>
      </c>
      <c r="T45" s="66" t="s">
        <v>327</v>
      </c>
      <c r="U45" s="66"/>
      <c r="V45" s="66" t="s">
        <v>327</v>
      </c>
      <c r="W45" s="66" t="s">
        <v>327</v>
      </c>
      <c r="X45" s="66" t="s">
        <v>327</v>
      </c>
      <c r="Y45" s="66" t="s">
        <v>327</v>
      </c>
      <c r="Z45" s="66" t="s">
        <v>327</v>
      </c>
      <c r="AA45" s="66" t="s">
        <v>327</v>
      </c>
      <c r="AB45" s="66"/>
      <c r="AC45" s="66" t="s">
        <v>327</v>
      </c>
      <c r="AD45" s="66" t="s">
        <v>327</v>
      </c>
      <c r="AE45" s="66" t="s">
        <v>327</v>
      </c>
      <c r="AF45" s="66" t="s">
        <v>327</v>
      </c>
      <c r="AG45" s="66" t="s">
        <v>327</v>
      </c>
      <c r="AH45" s="66" t="s">
        <v>327</v>
      </c>
      <c r="AI45" s="66"/>
      <c r="AJ45" s="67">
        <f t="shared" si="3"/>
        <v>26</v>
      </c>
      <c r="AK45" s="67">
        <f t="shared" si="4"/>
        <v>0</v>
      </c>
      <c r="AL45" s="96">
        <v>2</v>
      </c>
      <c r="AM45" s="67">
        <f t="shared" si="2"/>
        <v>26</v>
      </c>
      <c r="AN45" s="10"/>
    </row>
    <row r="46" spans="1:40" x14ac:dyDescent="0.3">
      <c r="A46" s="10"/>
      <c r="B46" s="65" t="str">
        <f>'Salary Calculations'!C45</f>
        <v>AS2139</v>
      </c>
      <c r="C46" s="98" t="str">
        <f>'Salary Calculations'!D45</f>
        <v>AM</v>
      </c>
      <c r="D46" s="99"/>
      <c r="E46" s="66" t="s">
        <v>327</v>
      </c>
      <c r="F46" s="66" t="s">
        <v>327</v>
      </c>
      <c r="G46" s="66"/>
      <c r="H46" s="66" t="s">
        <v>327</v>
      </c>
      <c r="I46" s="66" t="s">
        <v>327</v>
      </c>
      <c r="J46" s="66" t="s">
        <v>327</v>
      </c>
      <c r="K46" s="66" t="s">
        <v>327</v>
      </c>
      <c r="L46" s="66" t="s">
        <v>327</v>
      </c>
      <c r="M46" s="66" t="s">
        <v>327</v>
      </c>
      <c r="N46" s="66"/>
      <c r="O46" s="66" t="s">
        <v>327</v>
      </c>
      <c r="P46" s="66" t="s">
        <v>327</v>
      </c>
      <c r="Q46" s="66" t="s">
        <v>327</v>
      </c>
      <c r="R46" s="66" t="s">
        <v>327</v>
      </c>
      <c r="S46" s="66" t="s">
        <v>327</v>
      </c>
      <c r="T46" s="66" t="s">
        <v>327</v>
      </c>
      <c r="U46" s="66"/>
      <c r="V46" s="66" t="s">
        <v>327</v>
      </c>
      <c r="W46" s="66" t="s">
        <v>327</v>
      </c>
      <c r="X46" s="66" t="s">
        <v>327</v>
      </c>
      <c r="Y46" s="66" t="s">
        <v>327</v>
      </c>
      <c r="Z46" s="66" t="s">
        <v>327</v>
      </c>
      <c r="AA46" s="66" t="s">
        <v>327</v>
      </c>
      <c r="AB46" s="66"/>
      <c r="AC46" s="66" t="s">
        <v>327</v>
      </c>
      <c r="AD46" s="66" t="s">
        <v>327</v>
      </c>
      <c r="AE46" s="66" t="s">
        <v>327</v>
      </c>
      <c r="AF46" s="66" t="s">
        <v>327</v>
      </c>
      <c r="AG46" s="66" t="s">
        <v>327</v>
      </c>
      <c r="AH46" s="66" t="s">
        <v>327</v>
      </c>
      <c r="AI46" s="66"/>
      <c r="AJ46" s="67">
        <f t="shared" si="3"/>
        <v>26</v>
      </c>
      <c r="AK46" s="67">
        <f t="shared" si="4"/>
        <v>0</v>
      </c>
      <c r="AL46" s="96">
        <v>2</v>
      </c>
      <c r="AM46" s="67">
        <f t="shared" si="2"/>
        <v>26</v>
      </c>
      <c r="AN46" s="10"/>
    </row>
    <row r="47" spans="1:40" x14ac:dyDescent="0.3">
      <c r="A47" s="10"/>
      <c r="B47" s="65" t="str">
        <f>'Salary Calculations'!C46</f>
        <v>AS2140</v>
      </c>
      <c r="C47" s="98" t="str">
        <f>'Salary Calculations'!D46</f>
        <v>AN</v>
      </c>
      <c r="D47" s="99"/>
      <c r="E47" s="66" t="s">
        <v>327</v>
      </c>
      <c r="F47" s="66" t="s">
        <v>327</v>
      </c>
      <c r="G47" s="66"/>
      <c r="H47" s="66" t="s">
        <v>327</v>
      </c>
      <c r="I47" s="66" t="s">
        <v>327</v>
      </c>
      <c r="J47" s="66" t="s">
        <v>327</v>
      </c>
      <c r="K47" s="66" t="s">
        <v>327</v>
      </c>
      <c r="L47" s="66" t="s">
        <v>327</v>
      </c>
      <c r="M47" s="66" t="s">
        <v>327</v>
      </c>
      <c r="N47" s="66"/>
      <c r="O47" s="66" t="s">
        <v>327</v>
      </c>
      <c r="P47" s="66" t="s">
        <v>327</v>
      </c>
      <c r="Q47" s="66" t="s">
        <v>327</v>
      </c>
      <c r="R47" s="66" t="s">
        <v>327</v>
      </c>
      <c r="S47" s="66" t="s">
        <v>327</v>
      </c>
      <c r="T47" s="66" t="s">
        <v>327</v>
      </c>
      <c r="U47" s="66"/>
      <c r="V47" s="66" t="s">
        <v>327</v>
      </c>
      <c r="W47" s="66" t="s">
        <v>327</v>
      </c>
      <c r="X47" s="66" t="s">
        <v>327</v>
      </c>
      <c r="Y47" s="66" t="s">
        <v>327</v>
      </c>
      <c r="Z47" s="66" t="s">
        <v>327</v>
      </c>
      <c r="AA47" s="66" t="s">
        <v>327</v>
      </c>
      <c r="AB47" s="66"/>
      <c r="AC47" s="66" t="s">
        <v>327</v>
      </c>
      <c r="AD47" s="66" t="s">
        <v>327</v>
      </c>
      <c r="AE47" s="66" t="s">
        <v>327</v>
      </c>
      <c r="AF47" s="66" t="s">
        <v>327</v>
      </c>
      <c r="AG47" s="66" t="s">
        <v>327</v>
      </c>
      <c r="AH47" s="66" t="s">
        <v>327</v>
      </c>
      <c r="AI47" s="66"/>
      <c r="AJ47" s="67">
        <f t="shared" si="3"/>
        <v>26</v>
      </c>
      <c r="AK47" s="67">
        <f t="shared" si="4"/>
        <v>0</v>
      </c>
      <c r="AL47" s="96">
        <v>2</v>
      </c>
      <c r="AM47" s="67">
        <f t="shared" si="2"/>
        <v>26</v>
      </c>
      <c r="AN47" s="10"/>
    </row>
    <row r="48" spans="1:40" x14ac:dyDescent="0.3">
      <c r="A48" s="10"/>
      <c r="B48" s="65" t="str">
        <f>'Salary Calculations'!C47</f>
        <v>AS2141</v>
      </c>
      <c r="C48" s="98" t="str">
        <f>'Salary Calculations'!D47</f>
        <v>AO</v>
      </c>
      <c r="D48" s="99"/>
      <c r="E48" s="66" t="s">
        <v>327</v>
      </c>
      <c r="F48" s="66" t="s">
        <v>327</v>
      </c>
      <c r="G48" s="66"/>
      <c r="H48" s="66" t="s">
        <v>327</v>
      </c>
      <c r="I48" s="66" t="s">
        <v>327</v>
      </c>
      <c r="J48" s="66" t="s">
        <v>327</v>
      </c>
      <c r="K48" s="66" t="s">
        <v>327</v>
      </c>
      <c r="L48" s="66" t="s">
        <v>327</v>
      </c>
      <c r="M48" s="66" t="s">
        <v>327</v>
      </c>
      <c r="N48" s="66"/>
      <c r="O48" s="66" t="s">
        <v>327</v>
      </c>
      <c r="P48" s="66" t="s">
        <v>327</v>
      </c>
      <c r="Q48" s="66" t="s">
        <v>327</v>
      </c>
      <c r="R48" s="66" t="s">
        <v>327</v>
      </c>
      <c r="S48" s="66" t="s">
        <v>327</v>
      </c>
      <c r="T48" s="66" t="s">
        <v>327</v>
      </c>
      <c r="U48" s="66"/>
      <c r="V48" s="66" t="s">
        <v>327</v>
      </c>
      <c r="W48" s="66" t="s">
        <v>327</v>
      </c>
      <c r="X48" s="66" t="s">
        <v>327</v>
      </c>
      <c r="Y48" s="66" t="s">
        <v>327</v>
      </c>
      <c r="Z48" s="66" t="s">
        <v>327</v>
      </c>
      <c r="AA48" s="66" t="s">
        <v>327</v>
      </c>
      <c r="AB48" s="66"/>
      <c r="AC48" s="66" t="s">
        <v>327</v>
      </c>
      <c r="AD48" s="66" t="s">
        <v>327</v>
      </c>
      <c r="AE48" s="66" t="s">
        <v>327</v>
      </c>
      <c r="AF48" s="66" t="s">
        <v>327</v>
      </c>
      <c r="AG48" s="66" t="s">
        <v>327</v>
      </c>
      <c r="AH48" s="66" t="s">
        <v>327</v>
      </c>
      <c r="AI48" s="66"/>
      <c r="AJ48" s="67">
        <f t="shared" si="3"/>
        <v>26</v>
      </c>
      <c r="AK48" s="67">
        <f t="shared" si="4"/>
        <v>0</v>
      </c>
      <c r="AL48" s="96">
        <v>2</v>
      </c>
      <c r="AM48" s="67">
        <f t="shared" si="2"/>
        <v>26</v>
      </c>
      <c r="AN48" s="10"/>
    </row>
    <row r="49" spans="1:40" x14ac:dyDescent="0.3">
      <c r="A49" s="10"/>
      <c r="B49" s="65" t="str">
        <f>'Salary Calculations'!C48</f>
        <v>AS2142</v>
      </c>
      <c r="C49" s="98" t="str">
        <f>'Salary Calculations'!D48</f>
        <v>AP</v>
      </c>
      <c r="D49" s="99"/>
      <c r="E49" s="66" t="s">
        <v>327</v>
      </c>
      <c r="F49" s="66" t="s">
        <v>327</v>
      </c>
      <c r="G49" s="66"/>
      <c r="H49" s="66" t="s">
        <v>327</v>
      </c>
      <c r="I49" s="66" t="s">
        <v>327</v>
      </c>
      <c r="J49" s="66" t="s">
        <v>327</v>
      </c>
      <c r="K49" s="66" t="s">
        <v>327</v>
      </c>
      <c r="L49" s="66" t="s">
        <v>327</v>
      </c>
      <c r="M49" s="66" t="s">
        <v>327</v>
      </c>
      <c r="N49" s="66"/>
      <c r="O49" s="66" t="s">
        <v>327</v>
      </c>
      <c r="P49" s="66" t="s">
        <v>327</v>
      </c>
      <c r="Q49" s="66" t="s">
        <v>327</v>
      </c>
      <c r="R49" s="66" t="s">
        <v>327</v>
      </c>
      <c r="S49" s="66" t="s">
        <v>327</v>
      </c>
      <c r="T49" s="66" t="s">
        <v>327</v>
      </c>
      <c r="U49" s="66"/>
      <c r="V49" s="66" t="s">
        <v>327</v>
      </c>
      <c r="W49" s="66" t="s">
        <v>327</v>
      </c>
      <c r="X49" s="66" t="s">
        <v>327</v>
      </c>
      <c r="Y49" s="66" t="s">
        <v>327</v>
      </c>
      <c r="Z49" s="66" t="s">
        <v>327</v>
      </c>
      <c r="AA49" s="66" t="s">
        <v>327</v>
      </c>
      <c r="AB49" s="66"/>
      <c r="AC49" s="66" t="s">
        <v>327</v>
      </c>
      <c r="AD49" s="66" t="s">
        <v>327</v>
      </c>
      <c r="AE49" s="66" t="s">
        <v>327</v>
      </c>
      <c r="AF49" s="66" t="s">
        <v>327</v>
      </c>
      <c r="AG49" s="66" t="s">
        <v>327</v>
      </c>
      <c r="AH49" s="66" t="s">
        <v>327</v>
      </c>
      <c r="AI49" s="66"/>
      <c r="AJ49" s="67">
        <f t="shared" si="3"/>
        <v>26</v>
      </c>
      <c r="AK49" s="67">
        <f t="shared" si="4"/>
        <v>0</v>
      </c>
      <c r="AL49" s="96">
        <v>2</v>
      </c>
      <c r="AM49" s="67">
        <f t="shared" si="2"/>
        <v>26</v>
      </c>
      <c r="AN49" s="10"/>
    </row>
    <row r="50" spans="1:40" x14ac:dyDescent="0.3">
      <c r="A50" s="10"/>
      <c r="B50" s="65" t="str">
        <f>'Salary Calculations'!C49</f>
        <v>AS2143</v>
      </c>
      <c r="C50" s="98" t="str">
        <f>'Salary Calculations'!D49</f>
        <v>AQ</v>
      </c>
      <c r="D50" s="99"/>
      <c r="E50" s="66" t="s">
        <v>327</v>
      </c>
      <c r="F50" s="66" t="s">
        <v>327</v>
      </c>
      <c r="G50" s="66"/>
      <c r="H50" s="66" t="s">
        <v>327</v>
      </c>
      <c r="I50" s="66" t="s">
        <v>327</v>
      </c>
      <c r="J50" s="66" t="s">
        <v>327</v>
      </c>
      <c r="K50" s="66" t="s">
        <v>327</v>
      </c>
      <c r="L50" s="66" t="s">
        <v>327</v>
      </c>
      <c r="M50" s="66" t="s">
        <v>327</v>
      </c>
      <c r="N50" s="66"/>
      <c r="O50" s="66" t="s">
        <v>327</v>
      </c>
      <c r="P50" s="66" t="s">
        <v>327</v>
      </c>
      <c r="Q50" s="66" t="s">
        <v>327</v>
      </c>
      <c r="R50" s="66" t="s">
        <v>327</v>
      </c>
      <c r="S50" s="66" t="s">
        <v>327</v>
      </c>
      <c r="T50" s="66" t="s">
        <v>327</v>
      </c>
      <c r="U50" s="66"/>
      <c r="V50" s="66" t="s">
        <v>327</v>
      </c>
      <c r="W50" s="66" t="s">
        <v>327</v>
      </c>
      <c r="X50" s="66" t="s">
        <v>327</v>
      </c>
      <c r="Y50" s="66" t="s">
        <v>327</v>
      </c>
      <c r="Z50" s="66" t="s">
        <v>327</v>
      </c>
      <c r="AA50" s="66" t="s">
        <v>327</v>
      </c>
      <c r="AB50" s="66"/>
      <c r="AC50" s="66" t="s">
        <v>327</v>
      </c>
      <c r="AD50" s="66" t="s">
        <v>327</v>
      </c>
      <c r="AE50" s="66" t="s">
        <v>327</v>
      </c>
      <c r="AF50" s="66" t="s">
        <v>327</v>
      </c>
      <c r="AG50" s="66" t="s">
        <v>327</v>
      </c>
      <c r="AH50" s="66" t="s">
        <v>327</v>
      </c>
      <c r="AI50" s="66"/>
      <c r="AJ50" s="67">
        <f t="shared" si="3"/>
        <v>26</v>
      </c>
      <c r="AK50" s="67">
        <f t="shared" si="4"/>
        <v>0</v>
      </c>
      <c r="AL50" s="96">
        <v>2</v>
      </c>
      <c r="AM50" s="67">
        <f t="shared" si="2"/>
        <v>26</v>
      </c>
      <c r="AN50" s="10"/>
    </row>
    <row r="51" spans="1:40" x14ac:dyDescent="0.3">
      <c r="A51" s="10"/>
      <c r="B51" s="65" t="str">
        <f>'Salary Calculations'!C50</f>
        <v>AS2144</v>
      </c>
      <c r="C51" s="98" t="str">
        <f>'Salary Calculations'!D50</f>
        <v>AR</v>
      </c>
      <c r="D51" s="99"/>
      <c r="E51" s="66" t="s">
        <v>327</v>
      </c>
      <c r="F51" s="66" t="s">
        <v>327</v>
      </c>
      <c r="G51" s="66"/>
      <c r="H51" s="66" t="s">
        <v>327</v>
      </c>
      <c r="I51" s="66" t="s">
        <v>327</v>
      </c>
      <c r="J51" s="66" t="s">
        <v>327</v>
      </c>
      <c r="K51" s="66" t="s">
        <v>327</v>
      </c>
      <c r="L51" s="66" t="s">
        <v>327</v>
      </c>
      <c r="M51" s="66" t="s">
        <v>327</v>
      </c>
      <c r="N51" s="66"/>
      <c r="O51" s="66" t="s">
        <v>327</v>
      </c>
      <c r="P51" s="66" t="s">
        <v>327</v>
      </c>
      <c r="Q51" s="66" t="s">
        <v>327</v>
      </c>
      <c r="R51" s="66" t="s">
        <v>327</v>
      </c>
      <c r="S51" s="66" t="s">
        <v>327</v>
      </c>
      <c r="T51" s="66" t="s">
        <v>327</v>
      </c>
      <c r="U51" s="66"/>
      <c r="V51" s="66" t="s">
        <v>327</v>
      </c>
      <c r="W51" s="66" t="s">
        <v>327</v>
      </c>
      <c r="X51" s="66" t="s">
        <v>327</v>
      </c>
      <c r="Y51" s="66" t="s">
        <v>327</v>
      </c>
      <c r="Z51" s="66" t="s">
        <v>327</v>
      </c>
      <c r="AA51" s="66" t="s">
        <v>327</v>
      </c>
      <c r="AB51" s="66"/>
      <c r="AC51" s="66" t="s">
        <v>327</v>
      </c>
      <c r="AD51" s="66" t="s">
        <v>327</v>
      </c>
      <c r="AE51" s="66" t="s">
        <v>327</v>
      </c>
      <c r="AF51" s="66" t="s">
        <v>327</v>
      </c>
      <c r="AG51" s="66" t="s">
        <v>327</v>
      </c>
      <c r="AH51" s="66" t="s">
        <v>327</v>
      </c>
      <c r="AI51" s="66"/>
      <c r="AJ51" s="67">
        <f t="shared" si="3"/>
        <v>26</v>
      </c>
      <c r="AK51" s="67">
        <f t="shared" si="4"/>
        <v>0</v>
      </c>
      <c r="AL51" s="96">
        <v>2</v>
      </c>
      <c r="AM51" s="67">
        <f t="shared" si="2"/>
        <v>26</v>
      </c>
      <c r="AN51" s="10"/>
    </row>
    <row r="52" spans="1:40" x14ac:dyDescent="0.3">
      <c r="A52" s="10"/>
      <c r="B52" s="65" t="str">
        <f>'Salary Calculations'!C51</f>
        <v>AS2145</v>
      </c>
      <c r="C52" s="98" t="str">
        <f>'Salary Calculations'!D51</f>
        <v>AS</v>
      </c>
      <c r="D52" s="99"/>
      <c r="E52" s="66" t="s">
        <v>327</v>
      </c>
      <c r="F52" s="66" t="s">
        <v>327</v>
      </c>
      <c r="G52" s="66"/>
      <c r="H52" s="66" t="s">
        <v>327</v>
      </c>
      <c r="I52" s="66" t="s">
        <v>327</v>
      </c>
      <c r="J52" s="66" t="s">
        <v>327</v>
      </c>
      <c r="K52" s="66" t="s">
        <v>327</v>
      </c>
      <c r="L52" s="66" t="s">
        <v>327</v>
      </c>
      <c r="M52" s="66" t="s">
        <v>327</v>
      </c>
      <c r="N52" s="66"/>
      <c r="O52" s="66" t="s">
        <v>327</v>
      </c>
      <c r="P52" s="66" t="s">
        <v>327</v>
      </c>
      <c r="Q52" s="66" t="s">
        <v>327</v>
      </c>
      <c r="R52" s="66" t="s">
        <v>327</v>
      </c>
      <c r="S52" s="66" t="s">
        <v>327</v>
      </c>
      <c r="T52" s="66" t="s">
        <v>327</v>
      </c>
      <c r="U52" s="66"/>
      <c r="V52" s="66" t="s">
        <v>327</v>
      </c>
      <c r="W52" s="66" t="s">
        <v>327</v>
      </c>
      <c r="X52" s="66" t="s">
        <v>327</v>
      </c>
      <c r="Y52" s="66" t="s">
        <v>327</v>
      </c>
      <c r="Z52" s="66" t="s">
        <v>327</v>
      </c>
      <c r="AA52" s="66" t="s">
        <v>327</v>
      </c>
      <c r="AB52" s="66"/>
      <c r="AC52" s="66" t="s">
        <v>327</v>
      </c>
      <c r="AD52" s="66" t="s">
        <v>327</v>
      </c>
      <c r="AE52" s="66" t="s">
        <v>327</v>
      </c>
      <c r="AF52" s="66" t="s">
        <v>327</v>
      </c>
      <c r="AG52" s="66" t="s">
        <v>327</v>
      </c>
      <c r="AH52" s="66" t="s">
        <v>327</v>
      </c>
      <c r="AI52" s="66"/>
      <c r="AJ52" s="67">
        <f t="shared" si="3"/>
        <v>26</v>
      </c>
      <c r="AK52" s="67">
        <f t="shared" si="4"/>
        <v>0</v>
      </c>
      <c r="AL52" s="96">
        <v>2</v>
      </c>
      <c r="AM52" s="67">
        <f t="shared" si="2"/>
        <v>26</v>
      </c>
      <c r="AN52" s="10"/>
    </row>
    <row r="53" spans="1:40" x14ac:dyDescent="0.3">
      <c r="A53" s="10"/>
      <c r="B53" s="65" t="str">
        <f>'Salary Calculations'!C52</f>
        <v>AS2146</v>
      </c>
      <c r="C53" s="98" t="str">
        <f>'Salary Calculations'!D52</f>
        <v>AT</v>
      </c>
      <c r="D53" s="99"/>
      <c r="E53" s="66" t="s">
        <v>327</v>
      </c>
      <c r="F53" s="66" t="s">
        <v>327</v>
      </c>
      <c r="G53" s="66"/>
      <c r="H53" s="66" t="s">
        <v>327</v>
      </c>
      <c r="I53" s="66" t="s">
        <v>327</v>
      </c>
      <c r="J53" s="66" t="s">
        <v>327</v>
      </c>
      <c r="K53" s="66" t="s">
        <v>327</v>
      </c>
      <c r="L53" s="66" t="s">
        <v>327</v>
      </c>
      <c r="M53" s="66" t="s">
        <v>327</v>
      </c>
      <c r="N53" s="66"/>
      <c r="O53" s="66" t="s">
        <v>327</v>
      </c>
      <c r="P53" s="66" t="s">
        <v>327</v>
      </c>
      <c r="Q53" s="66" t="s">
        <v>327</v>
      </c>
      <c r="R53" s="66" t="s">
        <v>327</v>
      </c>
      <c r="S53" s="66" t="s">
        <v>327</v>
      </c>
      <c r="T53" s="66" t="s">
        <v>327</v>
      </c>
      <c r="U53" s="66"/>
      <c r="V53" s="66" t="s">
        <v>327</v>
      </c>
      <c r="W53" s="66" t="s">
        <v>327</v>
      </c>
      <c r="X53" s="66" t="s">
        <v>327</v>
      </c>
      <c r="Y53" s="66" t="s">
        <v>327</v>
      </c>
      <c r="Z53" s="66" t="s">
        <v>327</v>
      </c>
      <c r="AA53" s="66" t="s">
        <v>327</v>
      </c>
      <c r="AB53" s="66"/>
      <c r="AC53" s="66" t="s">
        <v>327</v>
      </c>
      <c r="AD53" s="66" t="s">
        <v>327</v>
      </c>
      <c r="AE53" s="66" t="s">
        <v>327</v>
      </c>
      <c r="AF53" s="66" t="s">
        <v>327</v>
      </c>
      <c r="AG53" s="66" t="s">
        <v>327</v>
      </c>
      <c r="AH53" s="66" t="s">
        <v>327</v>
      </c>
      <c r="AI53" s="66"/>
      <c r="AJ53" s="67">
        <f t="shared" si="3"/>
        <v>26</v>
      </c>
      <c r="AK53" s="67">
        <f t="shared" si="4"/>
        <v>0</v>
      </c>
      <c r="AL53" s="96">
        <v>2</v>
      </c>
      <c r="AM53" s="67">
        <f t="shared" si="2"/>
        <v>26</v>
      </c>
      <c r="AN53" s="10"/>
    </row>
    <row r="54" spans="1:40" x14ac:dyDescent="0.3">
      <c r="A54" s="10"/>
      <c r="B54" s="65" t="str">
        <f>'Salary Calculations'!C53</f>
        <v>AS2147</v>
      </c>
      <c r="C54" s="98" t="str">
        <f>'Salary Calculations'!D53</f>
        <v>AU</v>
      </c>
      <c r="D54" s="99"/>
      <c r="E54" s="66" t="s">
        <v>327</v>
      </c>
      <c r="F54" s="66" t="s">
        <v>327</v>
      </c>
      <c r="G54" s="66"/>
      <c r="H54" s="66" t="s">
        <v>327</v>
      </c>
      <c r="I54" s="66" t="s">
        <v>327</v>
      </c>
      <c r="J54" s="66" t="s">
        <v>327</v>
      </c>
      <c r="K54" s="66" t="s">
        <v>327</v>
      </c>
      <c r="L54" s="66" t="s">
        <v>327</v>
      </c>
      <c r="M54" s="66" t="s">
        <v>327</v>
      </c>
      <c r="N54" s="66"/>
      <c r="O54" s="66" t="s">
        <v>327</v>
      </c>
      <c r="P54" s="66" t="s">
        <v>327</v>
      </c>
      <c r="Q54" s="66" t="s">
        <v>327</v>
      </c>
      <c r="R54" s="66" t="s">
        <v>327</v>
      </c>
      <c r="S54" s="66" t="s">
        <v>327</v>
      </c>
      <c r="T54" s="66" t="s">
        <v>327</v>
      </c>
      <c r="U54" s="66"/>
      <c r="V54" s="66" t="s">
        <v>327</v>
      </c>
      <c r="W54" s="66" t="s">
        <v>327</v>
      </c>
      <c r="X54" s="66" t="s">
        <v>327</v>
      </c>
      <c r="Y54" s="66" t="s">
        <v>327</v>
      </c>
      <c r="Z54" s="66" t="s">
        <v>327</v>
      </c>
      <c r="AA54" s="66" t="s">
        <v>327</v>
      </c>
      <c r="AB54" s="66"/>
      <c r="AC54" s="66" t="s">
        <v>327</v>
      </c>
      <c r="AD54" s="66" t="s">
        <v>327</v>
      </c>
      <c r="AE54" s="66" t="s">
        <v>327</v>
      </c>
      <c r="AF54" s="66" t="s">
        <v>327</v>
      </c>
      <c r="AG54" s="66" t="s">
        <v>327</v>
      </c>
      <c r="AH54" s="66" t="s">
        <v>327</v>
      </c>
      <c r="AI54" s="66"/>
      <c r="AJ54" s="67">
        <f t="shared" si="3"/>
        <v>26</v>
      </c>
      <c r="AK54" s="67">
        <f t="shared" si="4"/>
        <v>0</v>
      </c>
      <c r="AL54" s="96">
        <v>2</v>
      </c>
      <c r="AM54" s="67">
        <f t="shared" si="2"/>
        <v>26</v>
      </c>
      <c r="AN54" s="10"/>
    </row>
    <row r="55" spans="1:40" x14ac:dyDescent="0.3">
      <c r="A55" s="10"/>
      <c r="B55" s="65" t="str">
        <f>'Salary Calculations'!C54</f>
        <v>AS2148</v>
      </c>
      <c r="C55" s="98" t="str">
        <f>'Salary Calculations'!D54</f>
        <v>AV</v>
      </c>
      <c r="D55" s="99"/>
      <c r="E55" s="66" t="s">
        <v>327</v>
      </c>
      <c r="F55" s="66" t="s">
        <v>327</v>
      </c>
      <c r="G55" s="66"/>
      <c r="H55" s="66" t="s">
        <v>327</v>
      </c>
      <c r="I55" s="66" t="s">
        <v>327</v>
      </c>
      <c r="J55" s="66" t="s">
        <v>327</v>
      </c>
      <c r="K55" s="66" t="s">
        <v>327</v>
      </c>
      <c r="L55" s="66" t="s">
        <v>327</v>
      </c>
      <c r="M55" s="66" t="s">
        <v>327</v>
      </c>
      <c r="N55" s="66"/>
      <c r="O55" s="66" t="s">
        <v>327</v>
      </c>
      <c r="P55" s="66" t="s">
        <v>327</v>
      </c>
      <c r="Q55" s="66" t="s">
        <v>327</v>
      </c>
      <c r="R55" s="66" t="s">
        <v>327</v>
      </c>
      <c r="S55" s="66" t="s">
        <v>327</v>
      </c>
      <c r="T55" s="66" t="s">
        <v>327</v>
      </c>
      <c r="U55" s="66"/>
      <c r="V55" s="66" t="s">
        <v>327</v>
      </c>
      <c r="W55" s="66" t="s">
        <v>327</v>
      </c>
      <c r="X55" s="66" t="s">
        <v>327</v>
      </c>
      <c r="Y55" s="66" t="s">
        <v>327</v>
      </c>
      <c r="Z55" s="66" t="s">
        <v>327</v>
      </c>
      <c r="AA55" s="66" t="s">
        <v>327</v>
      </c>
      <c r="AB55" s="66"/>
      <c r="AC55" s="66" t="s">
        <v>327</v>
      </c>
      <c r="AD55" s="66" t="s">
        <v>327</v>
      </c>
      <c r="AE55" s="66" t="s">
        <v>327</v>
      </c>
      <c r="AF55" s="66" t="s">
        <v>327</v>
      </c>
      <c r="AG55" s="66" t="s">
        <v>327</v>
      </c>
      <c r="AH55" s="66" t="s">
        <v>327</v>
      </c>
      <c r="AI55" s="66"/>
      <c r="AJ55" s="67">
        <f t="shared" si="3"/>
        <v>26</v>
      </c>
      <c r="AK55" s="67">
        <f t="shared" si="4"/>
        <v>0</v>
      </c>
      <c r="AL55" s="96">
        <v>2</v>
      </c>
      <c r="AM55" s="67">
        <f t="shared" si="2"/>
        <v>26</v>
      </c>
      <c r="AN55" s="10"/>
    </row>
    <row r="56" spans="1:40" x14ac:dyDescent="0.3">
      <c r="A56" s="10"/>
      <c r="B56" s="65" t="str">
        <f>'Salary Calculations'!C55</f>
        <v>AS2149</v>
      </c>
      <c r="C56" s="98" t="str">
        <f>'Salary Calculations'!D55</f>
        <v>AW</v>
      </c>
      <c r="D56" s="99"/>
      <c r="E56" s="66" t="s">
        <v>327</v>
      </c>
      <c r="F56" s="66" t="s">
        <v>327</v>
      </c>
      <c r="G56" s="66"/>
      <c r="H56" s="66" t="s">
        <v>327</v>
      </c>
      <c r="I56" s="66" t="s">
        <v>327</v>
      </c>
      <c r="J56" s="66" t="s">
        <v>327</v>
      </c>
      <c r="K56" s="66" t="s">
        <v>327</v>
      </c>
      <c r="L56" s="66" t="s">
        <v>327</v>
      </c>
      <c r="M56" s="66" t="s">
        <v>327</v>
      </c>
      <c r="N56" s="66"/>
      <c r="O56" s="66" t="s">
        <v>327</v>
      </c>
      <c r="P56" s="66" t="s">
        <v>327</v>
      </c>
      <c r="Q56" s="66" t="s">
        <v>327</v>
      </c>
      <c r="R56" s="66" t="s">
        <v>327</v>
      </c>
      <c r="S56" s="66" t="s">
        <v>327</v>
      </c>
      <c r="T56" s="66" t="s">
        <v>327</v>
      </c>
      <c r="U56" s="66"/>
      <c r="V56" s="66" t="s">
        <v>327</v>
      </c>
      <c r="W56" s="66" t="s">
        <v>327</v>
      </c>
      <c r="X56" s="66" t="s">
        <v>327</v>
      </c>
      <c r="Y56" s="66" t="s">
        <v>327</v>
      </c>
      <c r="Z56" s="66" t="s">
        <v>327</v>
      </c>
      <c r="AA56" s="66" t="s">
        <v>327</v>
      </c>
      <c r="AB56" s="66"/>
      <c r="AC56" s="66" t="s">
        <v>327</v>
      </c>
      <c r="AD56" s="66" t="s">
        <v>327</v>
      </c>
      <c r="AE56" s="66" t="s">
        <v>327</v>
      </c>
      <c r="AF56" s="66" t="s">
        <v>327</v>
      </c>
      <c r="AG56" s="66" t="s">
        <v>327</v>
      </c>
      <c r="AH56" s="66" t="s">
        <v>327</v>
      </c>
      <c r="AI56" s="66"/>
      <c r="AJ56" s="67">
        <f t="shared" si="3"/>
        <v>26</v>
      </c>
      <c r="AK56" s="67">
        <f t="shared" si="4"/>
        <v>0</v>
      </c>
      <c r="AL56" s="96">
        <v>2</v>
      </c>
      <c r="AM56" s="67">
        <f t="shared" si="2"/>
        <v>26</v>
      </c>
      <c r="AN56" s="10"/>
    </row>
    <row r="57" spans="1:40" x14ac:dyDescent="0.3">
      <c r="A57" s="10"/>
      <c r="B57" s="65" t="str">
        <f>'Salary Calculations'!C56</f>
        <v>AS2150</v>
      </c>
      <c r="C57" s="98" t="str">
        <f>'Salary Calculations'!D56</f>
        <v>AX</v>
      </c>
      <c r="D57" s="99"/>
      <c r="E57" s="66" t="s">
        <v>327</v>
      </c>
      <c r="F57" s="66" t="s">
        <v>327</v>
      </c>
      <c r="G57" s="66"/>
      <c r="H57" s="66" t="s">
        <v>327</v>
      </c>
      <c r="I57" s="66" t="s">
        <v>327</v>
      </c>
      <c r="J57" s="66" t="s">
        <v>327</v>
      </c>
      <c r="K57" s="66" t="s">
        <v>327</v>
      </c>
      <c r="L57" s="66" t="s">
        <v>327</v>
      </c>
      <c r="M57" s="66" t="s">
        <v>327</v>
      </c>
      <c r="N57" s="66"/>
      <c r="O57" s="66" t="s">
        <v>327</v>
      </c>
      <c r="P57" s="66" t="s">
        <v>327</v>
      </c>
      <c r="Q57" s="66" t="s">
        <v>327</v>
      </c>
      <c r="R57" s="66" t="s">
        <v>327</v>
      </c>
      <c r="S57" s="66" t="s">
        <v>327</v>
      </c>
      <c r="T57" s="66" t="s">
        <v>327</v>
      </c>
      <c r="U57" s="66"/>
      <c r="V57" s="66" t="s">
        <v>327</v>
      </c>
      <c r="W57" s="66" t="s">
        <v>327</v>
      </c>
      <c r="X57" s="66" t="s">
        <v>327</v>
      </c>
      <c r="Y57" s="66" t="s">
        <v>327</v>
      </c>
      <c r="Z57" s="66" t="s">
        <v>327</v>
      </c>
      <c r="AA57" s="66" t="s">
        <v>327</v>
      </c>
      <c r="AB57" s="66"/>
      <c r="AC57" s="66" t="s">
        <v>327</v>
      </c>
      <c r="AD57" s="66" t="s">
        <v>327</v>
      </c>
      <c r="AE57" s="66" t="s">
        <v>327</v>
      </c>
      <c r="AF57" s="66" t="s">
        <v>327</v>
      </c>
      <c r="AG57" s="66" t="s">
        <v>327</v>
      </c>
      <c r="AH57" s="66" t="s">
        <v>327</v>
      </c>
      <c r="AI57" s="66"/>
      <c r="AJ57" s="67">
        <f t="shared" si="3"/>
        <v>26</v>
      </c>
      <c r="AK57" s="67">
        <f t="shared" si="4"/>
        <v>0</v>
      </c>
      <c r="AL57" s="96">
        <v>2</v>
      </c>
      <c r="AM57" s="67">
        <f t="shared" si="2"/>
        <v>26</v>
      </c>
      <c r="AN57" s="10"/>
    </row>
    <row r="58" spans="1:40" x14ac:dyDescent="0.3">
      <c r="A58" s="10"/>
      <c r="B58" s="11"/>
      <c r="C58" s="68"/>
      <c r="D58" s="69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7"/>
      <c r="AK58" s="67"/>
      <c r="AL58" s="67"/>
      <c r="AM58" s="67"/>
      <c r="AN58" s="10"/>
    </row>
    <row r="59" spans="1:40" x14ac:dyDescent="0.3">
      <c r="A59" s="10"/>
      <c r="B59" s="113" t="s">
        <v>317</v>
      </c>
      <c r="C59" s="113"/>
      <c r="D59" s="113"/>
      <c r="E59" s="62">
        <f>COUNTIF(E8:E57,"P")</f>
        <v>50</v>
      </c>
      <c r="F59" s="62">
        <f t="shared" ref="F59:AI59" si="5">COUNTIF(F8:F57,"P")</f>
        <v>50</v>
      </c>
      <c r="G59" s="62">
        <f t="shared" si="5"/>
        <v>0</v>
      </c>
      <c r="H59" s="62">
        <f t="shared" si="5"/>
        <v>50</v>
      </c>
      <c r="I59" s="62">
        <f t="shared" si="5"/>
        <v>50</v>
      </c>
      <c r="J59" s="62">
        <f t="shared" si="5"/>
        <v>50</v>
      </c>
      <c r="K59" s="62">
        <f t="shared" si="5"/>
        <v>50</v>
      </c>
      <c r="L59" s="62">
        <f t="shared" si="5"/>
        <v>50</v>
      </c>
      <c r="M59" s="62">
        <f t="shared" si="5"/>
        <v>50</v>
      </c>
      <c r="N59" s="62">
        <f t="shared" si="5"/>
        <v>0</v>
      </c>
      <c r="O59" s="62">
        <f t="shared" si="5"/>
        <v>50</v>
      </c>
      <c r="P59" s="62">
        <f t="shared" si="5"/>
        <v>50</v>
      </c>
      <c r="Q59" s="62">
        <f t="shared" si="5"/>
        <v>50</v>
      </c>
      <c r="R59" s="62">
        <f t="shared" si="5"/>
        <v>50</v>
      </c>
      <c r="S59" s="62">
        <f t="shared" si="5"/>
        <v>50</v>
      </c>
      <c r="T59" s="62">
        <f t="shared" si="5"/>
        <v>50</v>
      </c>
      <c r="U59" s="62">
        <f t="shared" si="5"/>
        <v>0</v>
      </c>
      <c r="V59" s="62">
        <f t="shared" si="5"/>
        <v>50</v>
      </c>
      <c r="W59" s="62">
        <f t="shared" si="5"/>
        <v>50</v>
      </c>
      <c r="X59" s="62">
        <f t="shared" si="5"/>
        <v>50</v>
      </c>
      <c r="Y59" s="62">
        <f t="shared" si="5"/>
        <v>50</v>
      </c>
      <c r="Z59" s="62">
        <f t="shared" si="5"/>
        <v>50</v>
      </c>
      <c r="AA59" s="62">
        <f t="shared" si="5"/>
        <v>50</v>
      </c>
      <c r="AB59" s="62">
        <f t="shared" si="5"/>
        <v>0</v>
      </c>
      <c r="AC59" s="62">
        <f t="shared" si="5"/>
        <v>50</v>
      </c>
      <c r="AD59" s="62">
        <f t="shared" si="5"/>
        <v>50</v>
      </c>
      <c r="AE59" s="62">
        <f t="shared" si="5"/>
        <v>50</v>
      </c>
      <c r="AF59" s="62">
        <f t="shared" si="5"/>
        <v>50</v>
      </c>
      <c r="AG59" s="62">
        <f t="shared" si="5"/>
        <v>50</v>
      </c>
      <c r="AH59" s="62">
        <f t="shared" si="5"/>
        <v>50</v>
      </c>
      <c r="AI59" s="62">
        <f t="shared" si="5"/>
        <v>0</v>
      </c>
      <c r="AJ59" s="67"/>
      <c r="AK59" s="67"/>
      <c r="AL59" s="67"/>
      <c r="AM59" s="67"/>
      <c r="AN59" s="10"/>
    </row>
    <row r="60" spans="1:40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</row>
    <row r="61" spans="1:40" x14ac:dyDescent="0.3">
      <c r="C61" s="112"/>
      <c r="D61" s="112"/>
      <c r="AJ61" s="59"/>
    </row>
    <row r="62" spans="1:40" x14ac:dyDescent="0.3">
      <c r="C62" s="112"/>
      <c r="D62" s="112"/>
      <c r="AJ62" s="59"/>
    </row>
    <row r="63" spans="1:40" x14ac:dyDescent="0.3">
      <c r="C63" s="112"/>
      <c r="D63" s="112"/>
      <c r="AJ63" s="59"/>
    </row>
    <row r="64" spans="1:40" x14ac:dyDescent="0.3">
      <c r="C64" s="112"/>
      <c r="D64" s="112"/>
      <c r="AJ64" s="59"/>
    </row>
    <row r="65" spans="3:36" x14ac:dyDescent="0.3">
      <c r="C65" s="112"/>
      <c r="D65" s="112"/>
      <c r="AJ65" s="59"/>
    </row>
    <row r="66" spans="3:36" x14ac:dyDescent="0.3">
      <c r="C66" s="112"/>
      <c r="D66" s="112"/>
      <c r="AJ66" s="59"/>
    </row>
    <row r="67" spans="3:36" x14ac:dyDescent="0.3">
      <c r="C67" s="112"/>
      <c r="D67" s="112"/>
      <c r="AJ67" s="59"/>
    </row>
    <row r="68" spans="3:36" x14ac:dyDescent="0.3">
      <c r="C68" s="112"/>
      <c r="D68" s="112"/>
      <c r="AJ68" s="59"/>
    </row>
    <row r="69" spans="3:36" x14ac:dyDescent="0.3">
      <c r="C69" s="112"/>
      <c r="D69" s="112"/>
      <c r="AJ69" s="59"/>
    </row>
    <row r="70" spans="3:36" x14ac:dyDescent="0.3">
      <c r="AJ70" s="59"/>
    </row>
    <row r="71" spans="3:36" x14ac:dyDescent="0.3">
      <c r="AJ71" s="59"/>
    </row>
    <row r="72" spans="3:36" x14ac:dyDescent="0.3">
      <c r="AJ72" s="59"/>
    </row>
    <row r="73" spans="3:36" x14ac:dyDescent="0.3">
      <c r="AJ73" s="59"/>
    </row>
    <row r="74" spans="3:36" x14ac:dyDescent="0.3">
      <c r="AJ74" s="59"/>
    </row>
    <row r="75" spans="3:36" x14ac:dyDescent="0.3">
      <c r="AJ75" s="59"/>
    </row>
    <row r="76" spans="3:36" x14ac:dyDescent="0.3">
      <c r="AJ76" s="59"/>
    </row>
    <row r="77" spans="3:36" x14ac:dyDescent="0.3">
      <c r="AJ77" s="59"/>
    </row>
    <row r="78" spans="3:36" x14ac:dyDescent="0.3">
      <c r="AJ78" s="59"/>
    </row>
    <row r="79" spans="3:36" x14ac:dyDescent="0.3">
      <c r="AJ79" s="59"/>
    </row>
    <row r="80" spans="3:36" x14ac:dyDescent="0.3">
      <c r="AJ80" s="59"/>
    </row>
  </sheetData>
  <mergeCells count="64">
    <mergeCell ref="C66:D66"/>
    <mergeCell ref="C67:D67"/>
    <mergeCell ref="C68:D68"/>
    <mergeCell ref="C69:D69"/>
    <mergeCell ref="B59:D59"/>
    <mergeCell ref="C65:D65"/>
    <mergeCell ref="C57:D57"/>
    <mergeCell ref="C61:D61"/>
    <mergeCell ref="C62:D62"/>
    <mergeCell ref="C63:D63"/>
    <mergeCell ref="C64:D64"/>
    <mergeCell ref="C56:D56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44:D44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32:D32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20:D20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8:D8"/>
    <mergeCell ref="B2:C2"/>
    <mergeCell ref="D2:AM2"/>
    <mergeCell ref="AJ5:AM6"/>
    <mergeCell ref="C7:D7"/>
  </mergeCells>
  <conditionalFormatting sqref="E5:AI7">
    <cfRule type="expression" dxfId="1" priority="3">
      <formula>E$5&gt;DAY(EOMONTH(DATE($C$5,$C$3,1),0))</formula>
    </cfRule>
  </conditionalFormatting>
  <conditionalFormatting sqref="E7:AI59">
    <cfRule type="expression" dxfId="0" priority="2">
      <formula>E$7="Sun"</formula>
    </cfRule>
  </conditionalFormatting>
  <dataValidations count="1">
    <dataValidation type="list" allowBlank="1" showInputMessage="1" showErrorMessage="1" sqref="C6" xr:uid="{00000000-0002-0000-0000-000000000000}">
      <formula1>D3:O3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8"/>
  <sheetViews>
    <sheetView tabSelected="1" workbookViewId="0">
      <pane xSplit="15" ySplit="6" topLeftCell="P7" activePane="bottomRight" state="frozen"/>
      <selection pane="topRight" activeCell="K1" sqref="K1"/>
      <selection pane="bottomLeft" activeCell="A10" sqref="A10"/>
      <selection pane="bottomRight" activeCell="F15" sqref="F15"/>
    </sheetView>
  </sheetViews>
  <sheetFormatPr defaultColWidth="9.109375" defaultRowHeight="14.4" x14ac:dyDescent="0.3"/>
  <cols>
    <col min="1" max="1" width="3" style="1" customWidth="1"/>
    <col min="2" max="2" width="4" style="1" customWidth="1"/>
    <col min="3" max="3" width="14.44140625" style="1" customWidth="1"/>
    <col min="4" max="4" width="15.6640625" style="1" bestFit="1" customWidth="1"/>
    <col min="5" max="5" width="16.109375" style="1" customWidth="1"/>
    <col min="6" max="6" width="7.6640625" style="1" customWidth="1"/>
    <col min="7" max="7" width="10.44140625" style="7" customWidth="1"/>
    <col min="8" max="8" width="3.6640625" style="7" bestFit="1" customWidth="1"/>
    <col min="9" max="9" width="9" style="7" bestFit="1" customWidth="1"/>
    <col min="10" max="10" width="5.5546875" style="7" bestFit="1" customWidth="1"/>
    <col min="11" max="12" width="6.5546875" style="7" bestFit="1" customWidth="1"/>
    <col min="13" max="13" width="6.109375" style="1" customWidth="1"/>
    <col min="14" max="14" width="7.88671875" style="1" customWidth="1"/>
    <col min="15" max="15" width="10.33203125" style="1" customWidth="1"/>
    <col min="16" max="16" width="12.33203125" style="1" customWidth="1"/>
    <col min="17" max="17" width="11.6640625" style="1" customWidth="1"/>
    <col min="18" max="18" width="11.6640625" style="1" bestFit="1" customWidth="1"/>
    <col min="19" max="24" width="12.109375" style="1" customWidth="1"/>
    <col min="25" max="25" width="11.33203125" style="1" bestFit="1" customWidth="1"/>
    <col min="26" max="26" width="9.33203125" style="1" customWidth="1"/>
    <col min="27" max="27" width="6.33203125" style="1" customWidth="1"/>
    <col min="28" max="28" width="9" style="1" bestFit="1" customWidth="1"/>
    <col min="29" max="29" width="9" style="1" customWidth="1"/>
    <col min="30" max="30" width="9" style="1" bestFit="1" customWidth="1"/>
    <col min="31" max="31" width="11.109375" style="1" bestFit="1" customWidth="1"/>
    <col min="32" max="32" width="11.109375" style="1" customWidth="1"/>
    <col min="33" max="33" width="12.109375" style="1" bestFit="1" customWidth="1"/>
    <col min="34" max="35" width="12.109375" style="1" customWidth="1"/>
    <col min="36" max="36" width="16.109375" style="1" customWidth="1"/>
    <col min="37" max="37" width="3" style="1" customWidth="1"/>
    <col min="38" max="38" width="9.109375" style="1" customWidth="1"/>
    <col min="39" max="16384" width="9.109375" style="1"/>
  </cols>
  <sheetData>
    <row r="1" spans="1:39" ht="15.75" customHeight="1" x14ac:dyDescent="0.3">
      <c r="A1" s="4"/>
      <c r="B1" s="4"/>
      <c r="C1" s="4"/>
      <c r="D1" s="4"/>
      <c r="E1" s="4"/>
      <c r="F1" s="4"/>
      <c r="G1" s="10"/>
      <c r="H1" s="10"/>
      <c r="I1" s="10"/>
      <c r="J1" s="10"/>
      <c r="K1" s="10"/>
      <c r="L1" s="10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39" ht="38.25" customHeight="1" x14ac:dyDescent="0.3">
      <c r="A2" s="4"/>
      <c r="B2" s="118"/>
      <c r="C2" s="119"/>
      <c r="D2" s="123" t="s">
        <v>328</v>
      </c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4"/>
    </row>
    <row r="3" spans="1:39" ht="15.75" customHeight="1" x14ac:dyDescent="0.3">
      <c r="A3" s="4"/>
      <c r="B3" s="120" t="s">
        <v>29</v>
      </c>
      <c r="C3" s="120"/>
      <c r="D3" s="125" t="s">
        <v>146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9"/>
      <c r="Q3" s="129"/>
      <c r="R3" s="129"/>
      <c r="S3" s="129"/>
      <c r="T3" s="129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4"/>
      <c r="AM3" s="6"/>
    </row>
    <row r="4" spans="1:39" ht="15.75" customHeight="1" x14ac:dyDescent="0.3">
      <c r="A4" s="4"/>
      <c r="B4" s="121" t="s">
        <v>30</v>
      </c>
      <c r="C4" s="121"/>
      <c r="D4" s="127" t="s">
        <v>147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16" t="s">
        <v>291</v>
      </c>
      <c r="Q4" s="116"/>
      <c r="R4" s="116"/>
      <c r="S4" s="116"/>
      <c r="T4" s="1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4"/>
    </row>
    <row r="5" spans="1:39" ht="15" customHeight="1" x14ac:dyDescent="0.3">
      <c r="A5" s="4"/>
      <c r="B5" s="117" t="s">
        <v>321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5"/>
      <c r="Q5" s="115" t="s">
        <v>4</v>
      </c>
      <c r="R5" s="115"/>
      <c r="S5" s="115"/>
      <c r="T5" s="115"/>
      <c r="U5" s="115"/>
      <c r="V5" s="115"/>
      <c r="W5" s="115"/>
      <c r="X5" s="115"/>
      <c r="Y5" s="15"/>
      <c r="Z5" s="115" t="s">
        <v>5</v>
      </c>
      <c r="AA5" s="115"/>
      <c r="AB5" s="115"/>
      <c r="AC5" s="115"/>
      <c r="AD5" s="115"/>
      <c r="AE5" s="115"/>
      <c r="AF5" s="9"/>
      <c r="AG5" s="9"/>
      <c r="AH5" s="115" t="s">
        <v>151</v>
      </c>
      <c r="AI5" s="115"/>
      <c r="AJ5" s="115"/>
      <c r="AK5" s="4"/>
    </row>
    <row r="6" spans="1:39" ht="43.8" x14ac:dyDescent="0.3">
      <c r="A6" s="4"/>
      <c r="B6" s="15" t="s">
        <v>8</v>
      </c>
      <c r="C6" s="15" t="s">
        <v>2</v>
      </c>
      <c r="D6" s="15" t="s">
        <v>0</v>
      </c>
      <c r="E6" s="9" t="s">
        <v>1</v>
      </c>
      <c r="F6" s="15" t="s">
        <v>263</v>
      </c>
      <c r="G6" s="9" t="s">
        <v>88</v>
      </c>
      <c r="H6" s="64" t="s">
        <v>92</v>
      </c>
      <c r="I6" s="9" t="s">
        <v>304</v>
      </c>
      <c r="J6" s="9" t="s">
        <v>308</v>
      </c>
      <c r="K6" s="86" t="s">
        <v>318</v>
      </c>
      <c r="L6" s="86" t="s">
        <v>319</v>
      </c>
      <c r="M6" s="15" t="s">
        <v>77</v>
      </c>
      <c r="N6" s="15" t="s">
        <v>75</v>
      </c>
      <c r="O6" s="15" t="str">
        <f>"CTC"&amp;" "&amp;I8 &amp;" "&amp;J8</f>
        <v>CTC January 2023</v>
      </c>
      <c r="P6" s="15" t="str">
        <f>"Basic" &amp;" "&amp;I8 &amp;" "&amp;J8</f>
        <v>Basic January 2023</v>
      </c>
      <c r="Q6" s="15" t="s">
        <v>76</v>
      </c>
      <c r="R6" s="15" t="s">
        <v>80</v>
      </c>
      <c r="S6" s="15" t="s">
        <v>84</v>
      </c>
      <c r="T6" s="15" t="s">
        <v>81</v>
      </c>
      <c r="U6" s="15" t="s">
        <v>83</v>
      </c>
      <c r="V6" s="15" t="s">
        <v>82</v>
      </c>
      <c r="W6" s="15" t="s">
        <v>85</v>
      </c>
      <c r="X6" s="15" t="s">
        <v>95</v>
      </c>
      <c r="Y6" s="15" t="s">
        <v>86</v>
      </c>
      <c r="Z6" s="15" t="s">
        <v>97</v>
      </c>
      <c r="AA6" s="15" t="s">
        <v>96</v>
      </c>
      <c r="AB6" s="15" t="s">
        <v>89</v>
      </c>
      <c r="AC6" s="15" t="s">
        <v>305</v>
      </c>
      <c r="AD6" s="15" t="s">
        <v>91</v>
      </c>
      <c r="AE6" s="15" t="s">
        <v>94</v>
      </c>
      <c r="AF6" s="9" t="s">
        <v>93</v>
      </c>
      <c r="AG6" s="9" t="s">
        <v>6</v>
      </c>
      <c r="AH6" s="9" t="s">
        <v>152</v>
      </c>
      <c r="AI6" s="9" t="s">
        <v>153</v>
      </c>
      <c r="AJ6" s="15" t="s">
        <v>155</v>
      </c>
      <c r="AK6" s="4"/>
    </row>
    <row r="7" spans="1:39" ht="15.6" x14ac:dyDescent="0.3">
      <c r="A7" s="4"/>
      <c r="B7" s="2">
        <v>1</v>
      </c>
      <c r="C7" s="3" t="s">
        <v>31</v>
      </c>
      <c r="D7" s="2" t="s">
        <v>10</v>
      </c>
      <c r="E7" s="2" t="s">
        <v>57</v>
      </c>
      <c r="F7" s="3" t="s">
        <v>264</v>
      </c>
      <c r="G7" s="3" t="s">
        <v>78</v>
      </c>
      <c r="H7" s="3" t="s">
        <v>269</v>
      </c>
      <c r="I7" s="87" t="str">
        <f>'Employee Attendance'!$C$6</f>
        <v>January</v>
      </c>
      <c r="J7" s="87">
        <f>'Employee Attendance'!$C$5</f>
        <v>2023</v>
      </c>
      <c r="K7" s="11">
        <f>'Employee Attendance'!AJ8+'Employee Attendance'!AK8</f>
        <v>26</v>
      </c>
      <c r="L7" s="11">
        <f>'Employee Attendance'!AL8</f>
        <v>2</v>
      </c>
      <c r="M7" s="11">
        <f>'Employee Attendance'!AK8</f>
        <v>0</v>
      </c>
      <c r="N7" s="11">
        <f>'Employee Attendance'!AM8</f>
        <v>26</v>
      </c>
      <c r="O7" s="56">
        <v>25000</v>
      </c>
      <c r="P7" s="55">
        <f>IF(N7=0,"",O7/K7*N7*60%)</f>
        <v>15000</v>
      </c>
      <c r="Q7" s="55">
        <f>IF(G7="Metro",P7/K7*N7*50%,IF(G7="Non-Metro",P7/K7*N7*40%, 0))</f>
        <v>7500</v>
      </c>
      <c r="R7" s="56">
        <v>1200</v>
      </c>
      <c r="S7" s="55">
        <f>IF(N7=0,"",R7/K7*N7)</f>
        <v>1200</v>
      </c>
      <c r="T7" s="56">
        <v>1250</v>
      </c>
      <c r="U7" s="55">
        <f>IF(N7=0,"",T7/K7*N7)</f>
        <v>1250</v>
      </c>
      <c r="V7" s="55">
        <f>IF(N7=0,"",O7-(P7+Q7+R7+T7))</f>
        <v>50</v>
      </c>
      <c r="W7" s="55">
        <f>IF(N7=0,"",V7/K7*N7)</f>
        <v>50</v>
      </c>
      <c r="X7" s="55">
        <f>Q7+S7+U7+W7</f>
        <v>10000</v>
      </c>
      <c r="Y7" s="55">
        <f>P7+X7</f>
        <v>25000</v>
      </c>
      <c r="Z7" s="56">
        <v>200</v>
      </c>
      <c r="AA7" s="58">
        <v>0.1</v>
      </c>
      <c r="AB7" s="55">
        <f>IF(Y7*12&lt;500000,0,Y7*AA7)</f>
        <v>0</v>
      </c>
      <c r="AC7" s="55">
        <f>IF(Y7=0,0,IF(Y7*12%&lt;1800,1800,Y7*12%))</f>
        <v>3000</v>
      </c>
      <c r="AD7" s="56">
        <v>5000</v>
      </c>
      <c r="AE7" s="55">
        <f>IF(N7="",0, (Z7+AB7+AC7+AD7))</f>
        <v>8200</v>
      </c>
      <c r="AF7" s="56">
        <v>500</v>
      </c>
      <c r="AG7" s="57">
        <f>IF(N7="",0,(Y7-AE7+AF7))</f>
        <v>17300</v>
      </c>
      <c r="AH7" s="12" t="s">
        <v>156</v>
      </c>
      <c r="AI7" s="12" t="s">
        <v>206</v>
      </c>
      <c r="AJ7" s="3">
        <v>10000000001</v>
      </c>
      <c r="AK7" s="4"/>
    </row>
    <row r="8" spans="1:39" ht="15.6" x14ac:dyDescent="0.3">
      <c r="A8" s="4"/>
      <c r="B8" s="2">
        <v>2</v>
      </c>
      <c r="C8" s="3" t="s">
        <v>32</v>
      </c>
      <c r="D8" s="2" t="s">
        <v>11</v>
      </c>
      <c r="E8" s="2" t="s">
        <v>58</v>
      </c>
      <c r="F8" s="3" t="s">
        <v>265</v>
      </c>
      <c r="G8" s="3" t="s">
        <v>78</v>
      </c>
      <c r="H8" s="3" t="s">
        <v>269</v>
      </c>
      <c r="I8" s="87" t="str">
        <f>'Employee Attendance'!$C$6</f>
        <v>January</v>
      </c>
      <c r="J8" s="87">
        <f>'Employee Attendance'!$C$5</f>
        <v>2023</v>
      </c>
      <c r="K8" s="11">
        <f>'Employee Attendance'!AJ9+'Employee Attendance'!AK9</f>
        <v>26</v>
      </c>
      <c r="L8" s="11">
        <f>'Employee Attendance'!AL9</f>
        <v>2</v>
      </c>
      <c r="M8" s="11">
        <f>'Employee Attendance'!AK9</f>
        <v>0</v>
      </c>
      <c r="N8" s="11">
        <f>'Employee Attendance'!AM9</f>
        <v>26</v>
      </c>
      <c r="O8" s="56">
        <v>15000</v>
      </c>
      <c r="P8" s="55">
        <f t="shared" ref="P8:P57" si="0">IF(N8=0,"",O8/K8*N8*60%)</f>
        <v>9000</v>
      </c>
      <c r="Q8" s="55">
        <f t="shared" ref="Q8:Q57" si="1">IF(G8="Metro",P8/K8*N8*50%,IF(G8="Non-Metro",P8/K8*N8*40%, 0))</f>
        <v>4500</v>
      </c>
      <c r="R8" s="56">
        <v>1200</v>
      </c>
      <c r="S8" s="55">
        <f t="shared" ref="S8:S57" si="2">IF(N8=0,"",R8/K8*N8)</f>
        <v>1200</v>
      </c>
      <c r="T8" s="56">
        <v>1000</v>
      </c>
      <c r="U8" s="55">
        <f t="shared" ref="U8:U57" si="3">IF(N8=0,"",T8/K8*N8)</f>
        <v>1000</v>
      </c>
      <c r="V8" s="55">
        <f t="shared" ref="V8:V56" si="4">IF(N8=0,"",O8-(P8+Q8+R8+T8))</f>
        <v>-700</v>
      </c>
      <c r="W8" s="55">
        <f t="shared" ref="W8:W57" si="5">IF(N8=0,"",V8/K8*N8)</f>
        <v>-700</v>
      </c>
      <c r="X8" s="55">
        <f t="shared" ref="X8:X56" si="6">Q8+S8+U8+W8</f>
        <v>6000</v>
      </c>
      <c r="Y8" s="55">
        <f t="shared" ref="Y8:Y56" si="7">P8+X8</f>
        <v>15000</v>
      </c>
      <c r="Z8" s="56">
        <v>0</v>
      </c>
      <c r="AA8" s="58">
        <v>0.1</v>
      </c>
      <c r="AB8" s="55">
        <f t="shared" ref="AB8:AB57" si="8">IF(Y8*12&lt;500000,0,Y8*AA8)</f>
        <v>0</v>
      </c>
      <c r="AC8" s="55">
        <f t="shared" ref="AC8:AC57" si="9">IF(Y8=0,0,IF(Y8*12%&lt;1800,1800,Y8*12%))</f>
        <v>1800</v>
      </c>
      <c r="AD8" s="56">
        <v>0</v>
      </c>
      <c r="AE8" s="55">
        <f t="shared" ref="AE8:AE57" si="10">IF(N8="",0, (Z8+AB8+AC8+AD8))</f>
        <v>1800</v>
      </c>
      <c r="AF8" s="56">
        <v>500</v>
      </c>
      <c r="AG8" s="57">
        <f t="shared" ref="AG8:AG56" si="11">IF(N8="",0,(Y8-AE8+AF8))</f>
        <v>13700</v>
      </c>
      <c r="AH8" s="12" t="s">
        <v>157</v>
      </c>
      <c r="AI8" s="12" t="s">
        <v>207</v>
      </c>
      <c r="AJ8" s="3">
        <v>10000000002</v>
      </c>
      <c r="AK8" s="4"/>
    </row>
    <row r="9" spans="1:39" ht="15.6" x14ac:dyDescent="0.3">
      <c r="A9" s="4"/>
      <c r="B9" s="2">
        <v>3</v>
      </c>
      <c r="C9" s="3" t="s">
        <v>33</v>
      </c>
      <c r="D9" s="2" t="s">
        <v>12</v>
      </c>
      <c r="E9" s="2" t="s">
        <v>59</v>
      </c>
      <c r="F9" s="3" t="s">
        <v>266</v>
      </c>
      <c r="G9" s="3" t="s">
        <v>78</v>
      </c>
      <c r="H9" s="3" t="s">
        <v>276</v>
      </c>
      <c r="I9" s="87" t="str">
        <f>'Employee Attendance'!$C$6</f>
        <v>January</v>
      </c>
      <c r="J9" s="87">
        <f>'Employee Attendance'!$C$5</f>
        <v>2023</v>
      </c>
      <c r="K9" s="11">
        <f>'Employee Attendance'!AJ10+'Employee Attendance'!AK10</f>
        <v>26</v>
      </c>
      <c r="L9" s="11">
        <f>'Employee Attendance'!AL10</f>
        <v>2</v>
      </c>
      <c r="M9" s="11">
        <f>'Employee Attendance'!AK10</f>
        <v>0</v>
      </c>
      <c r="N9" s="11">
        <f>'Employee Attendance'!AM10</f>
        <v>26</v>
      </c>
      <c r="O9" s="56">
        <v>18000</v>
      </c>
      <c r="P9" s="55">
        <f t="shared" si="0"/>
        <v>10800</v>
      </c>
      <c r="Q9" s="55">
        <f t="shared" si="1"/>
        <v>5400</v>
      </c>
      <c r="R9" s="56">
        <v>1600</v>
      </c>
      <c r="S9" s="55">
        <f t="shared" si="2"/>
        <v>1600</v>
      </c>
      <c r="T9" s="56">
        <v>1000</v>
      </c>
      <c r="U9" s="55">
        <f t="shared" si="3"/>
        <v>1000</v>
      </c>
      <c r="V9" s="55">
        <f t="shared" si="4"/>
        <v>-800</v>
      </c>
      <c r="W9" s="55">
        <f t="shared" si="5"/>
        <v>-800</v>
      </c>
      <c r="X9" s="55">
        <f t="shared" si="6"/>
        <v>7200</v>
      </c>
      <c r="Y9" s="55">
        <f t="shared" si="7"/>
        <v>18000</v>
      </c>
      <c r="Z9" s="56">
        <v>150</v>
      </c>
      <c r="AA9" s="58">
        <v>0.1</v>
      </c>
      <c r="AB9" s="55">
        <f t="shared" si="8"/>
        <v>0</v>
      </c>
      <c r="AC9" s="55">
        <f t="shared" si="9"/>
        <v>2160</v>
      </c>
      <c r="AD9" s="56">
        <v>0</v>
      </c>
      <c r="AE9" s="55">
        <f t="shared" si="10"/>
        <v>2310</v>
      </c>
      <c r="AF9" s="56">
        <v>500</v>
      </c>
      <c r="AG9" s="57">
        <f t="shared" si="11"/>
        <v>16190</v>
      </c>
      <c r="AH9" s="12" t="s">
        <v>158</v>
      </c>
      <c r="AI9" s="12" t="s">
        <v>208</v>
      </c>
      <c r="AJ9" s="3">
        <v>10000000003</v>
      </c>
      <c r="AK9" s="4"/>
    </row>
    <row r="10" spans="1:39" ht="15.6" x14ac:dyDescent="0.3">
      <c r="A10" s="4"/>
      <c r="B10" s="2">
        <v>4</v>
      </c>
      <c r="C10" s="3" t="s">
        <v>34</v>
      </c>
      <c r="D10" s="2" t="s">
        <v>13</v>
      </c>
      <c r="E10" s="2" t="s">
        <v>58</v>
      </c>
      <c r="F10" s="3" t="s">
        <v>267</v>
      </c>
      <c r="G10" s="3" t="s">
        <v>78</v>
      </c>
      <c r="H10" s="3" t="s">
        <v>269</v>
      </c>
      <c r="I10" s="87" t="str">
        <f>'Employee Attendance'!$C$6</f>
        <v>January</v>
      </c>
      <c r="J10" s="87">
        <f>'Employee Attendance'!$C$5</f>
        <v>2023</v>
      </c>
      <c r="K10" s="11">
        <f>'Employee Attendance'!AJ11+'Employee Attendance'!AK11</f>
        <v>26</v>
      </c>
      <c r="L10" s="11">
        <f>'Employee Attendance'!AL11</f>
        <v>2</v>
      </c>
      <c r="M10" s="11">
        <v>3</v>
      </c>
      <c r="N10" s="11">
        <f>'Employee Attendance'!AM11</f>
        <v>26</v>
      </c>
      <c r="O10" s="56">
        <v>14500</v>
      </c>
      <c r="P10" s="55">
        <f t="shared" si="0"/>
        <v>8700</v>
      </c>
      <c r="Q10" s="55">
        <f t="shared" si="1"/>
        <v>4350</v>
      </c>
      <c r="R10" s="56">
        <v>1200</v>
      </c>
      <c r="S10" s="55">
        <f t="shared" si="2"/>
        <v>1200</v>
      </c>
      <c r="T10" s="56">
        <v>800</v>
      </c>
      <c r="U10" s="55">
        <f t="shared" si="3"/>
        <v>800</v>
      </c>
      <c r="V10" s="55">
        <f t="shared" si="4"/>
        <v>-550</v>
      </c>
      <c r="W10" s="55">
        <f t="shared" si="5"/>
        <v>-550</v>
      </c>
      <c r="X10" s="55">
        <f t="shared" si="6"/>
        <v>5800</v>
      </c>
      <c r="Y10" s="55">
        <f t="shared" si="7"/>
        <v>14500</v>
      </c>
      <c r="Z10" s="56">
        <v>0</v>
      </c>
      <c r="AA10" s="58">
        <v>0.1</v>
      </c>
      <c r="AB10" s="55">
        <f t="shared" si="8"/>
        <v>0</v>
      </c>
      <c r="AC10" s="55">
        <f t="shared" si="9"/>
        <v>1800</v>
      </c>
      <c r="AD10" s="56">
        <v>0</v>
      </c>
      <c r="AE10" s="55">
        <f t="shared" si="10"/>
        <v>1800</v>
      </c>
      <c r="AF10" s="56">
        <v>500</v>
      </c>
      <c r="AG10" s="57">
        <f t="shared" si="11"/>
        <v>13200</v>
      </c>
      <c r="AH10" s="12" t="s">
        <v>159</v>
      </c>
      <c r="AI10" s="12" t="s">
        <v>209</v>
      </c>
      <c r="AJ10" s="3">
        <v>10000000004</v>
      </c>
      <c r="AK10" s="4"/>
    </row>
    <row r="11" spans="1:39" ht="15.6" x14ac:dyDescent="0.3">
      <c r="A11" s="4"/>
      <c r="B11" s="2">
        <v>5</v>
      </c>
      <c r="C11" s="3" t="s">
        <v>35</v>
      </c>
      <c r="D11" s="2" t="s">
        <v>14</v>
      </c>
      <c r="E11" s="2" t="s">
        <v>51</v>
      </c>
      <c r="F11" s="3" t="s">
        <v>268</v>
      </c>
      <c r="G11" s="3" t="s">
        <v>78</v>
      </c>
      <c r="H11" s="3" t="s">
        <v>269</v>
      </c>
      <c r="I11" s="87" t="str">
        <f>'Employee Attendance'!$C$6</f>
        <v>January</v>
      </c>
      <c r="J11" s="87">
        <f>'Employee Attendance'!$C$5</f>
        <v>2023</v>
      </c>
      <c r="K11" s="11">
        <f>'Employee Attendance'!AJ12+'Employee Attendance'!AK12</f>
        <v>26</v>
      </c>
      <c r="L11" s="11">
        <f>'Employee Attendance'!AL12</f>
        <v>2</v>
      </c>
      <c r="M11" s="11">
        <f>'Employee Attendance'!AK12</f>
        <v>0</v>
      </c>
      <c r="N11" s="11">
        <f>'Employee Attendance'!AM12</f>
        <v>26</v>
      </c>
      <c r="O11" s="56">
        <v>15200</v>
      </c>
      <c r="P11" s="55">
        <f t="shared" si="0"/>
        <v>9120</v>
      </c>
      <c r="Q11" s="55">
        <f t="shared" si="1"/>
        <v>4560</v>
      </c>
      <c r="R11" s="56">
        <v>1000</v>
      </c>
      <c r="S11" s="55">
        <f t="shared" si="2"/>
        <v>1000</v>
      </c>
      <c r="T11" s="56">
        <v>1200</v>
      </c>
      <c r="U11" s="55">
        <f t="shared" si="3"/>
        <v>1200</v>
      </c>
      <c r="V11" s="55">
        <f t="shared" si="4"/>
        <v>-680</v>
      </c>
      <c r="W11" s="55">
        <f t="shared" si="5"/>
        <v>-680</v>
      </c>
      <c r="X11" s="55">
        <f t="shared" si="6"/>
        <v>6080</v>
      </c>
      <c r="Y11" s="55">
        <f t="shared" si="7"/>
        <v>15200</v>
      </c>
      <c r="Z11" s="56">
        <v>150</v>
      </c>
      <c r="AA11" s="58">
        <v>0.1</v>
      </c>
      <c r="AB11" s="55">
        <f t="shared" si="8"/>
        <v>0</v>
      </c>
      <c r="AC11" s="55">
        <f t="shared" si="9"/>
        <v>1824</v>
      </c>
      <c r="AD11" s="56">
        <v>0</v>
      </c>
      <c r="AE11" s="55">
        <f t="shared" si="10"/>
        <v>1974</v>
      </c>
      <c r="AF11" s="56">
        <v>500</v>
      </c>
      <c r="AG11" s="57">
        <f t="shared" si="11"/>
        <v>13726</v>
      </c>
      <c r="AH11" s="12" t="s">
        <v>160</v>
      </c>
      <c r="AI11" s="12" t="s">
        <v>210</v>
      </c>
      <c r="AJ11" s="3">
        <v>10000000005</v>
      </c>
      <c r="AK11" s="4"/>
    </row>
    <row r="12" spans="1:39" ht="15.6" x14ac:dyDescent="0.3">
      <c r="A12" s="4"/>
      <c r="B12" s="2">
        <v>6</v>
      </c>
      <c r="C12" s="3" t="s">
        <v>36</v>
      </c>
      <c r="D12" s="2" t="s">
        <v>16</v>
      </c>
      <c r="E12" s="2" t="s">
        <v>57</v>
      </c>
      <c r="F12" s="3" t="s">
        <v>269</v>
      </c>
      <c r="G12" s="3" t="s">
        <v>79</v>
      </c>
      <c r="H12" s="3" t="s">
        <v>276</v>
      </c>
      <c r="I12" s="87" t="str">
        <f>'Employee Attendance'!$C$6</f>
        <v>January</v>
      </c>
      <c r="J12" s="87">
        <f>'Employee Attendance'!$C$5</f>
        <v>2023</v>
      </c>
      <c r="K12" s="11">
        <f>'Employee Attendance'!AJ13+'Employee Attendance'!AK13</f>
        <v>26</v>
      </c>
      <c r="L12" s="11">
        <f>'Employee Attendance'!AL13</f>
        <v>2</v>
      </c>
      <c r="M12" s="11">
        <f>'Employee Attendance'!AK13</f>
        <v>0</v>
      </c>
      <c r="N12" s="11">
        <f>'Employee Attendance'!AM13</f>
        <v>26</v>
      </c>
      <c r="O12" s="56">
        <v>18000</v>
      </c>
      <c r="P12" s="55">
        <f t="shared" si="0"/>
        <v>10800</v>
      </c>
      <c r="Q12" s="55">
        <f t="shared" si="1"/>
        <v>4320</v>
      </c>
      <c r="R12" s="56">
        <v>1600</v>
      </c>
      <c r="S12" s="55">
        <f t="shared" si="2"/>
        <v>1600</v>
      </c>
      <c r="T12" s="56">
        <v>1250</v>
      </c>
      <c r="U12" s="55">
        <f t="shared" si="3"/>
        <v>1250</v>
      </c>
      <c r="V12" s="55">
        <f t="shared" si="4"/>
        <v>30</v>
      </c>
      <c r="W12" s="55">
        <f t="shared" si="5"/>
        <v>29.999999999999996</v>
      </c>
      <c r="X12" s="55">
        <f t="shared" si="6"/>
        <v>7200</v>
      </c>
      <c r="Y12" s="55">
        <f t="shared" si="7"/>
        <v>18000</v>
      </c>
      <c r="Z12" s="56">
        <v>150</v>
      </c>
      <c r="AA12" s="58">
        <v>0.1</v>
      </c>
      <c r="AB12" s="55">
        <f t="shared" si="8"/>
        <v>0</v>
      </c>
      <c r="AC12" s="55">
        <f t="shared" si="9"/>
        <v>2160</v>
      </c>
      <c r="AD12" s="56">
        <v>0</v>
      </c>
      <c r="AE12" s="55">
        <f t="shared" si="10"/>
        <v>2310</v>
      </c>
      <c r="AF12" s="56">
        <v>500</v>
      </c>
      <c r="AG12" s="57">
        <f t="shared" si="11"/>
        <v>16190</v>
      </c>
      <c r="AH12" s="12" t="s">
        <v>161</v>
      </c>
      <c r="AI12" s="12" t="s">
        <v>211</v>
      </c>
      <c r="AJ12" s="3">
        <v>10000000006</v>
      </c>
      <c r="AK12" s="4"/>
    </row>
    <row r="13" spans="1:39" ht="15.6" x14ac:dyDescent="0.3">
      <c r="A13" s="4"/>
      <c r="B13" s="2">
        <v>7</v>
      </c>
      <c r="C13" s="3" t="s">
        <v>37</v>
      </c>
      <c r="D13" s="2" t="s">
        <v>15</v>
      </c>
      <c r="E13" s="2" t="s">
        <v>53</v>
      </c>
      <c r="F13" s="3" t="s">
        <v>270</v>
      </c>
      <c r="G13" s="3" t="s">
        <v>79</v>
      </c>
      <c r="H13" s="3" t="s">
        <v>276</v>
      </c>
      <c r="I13" s="87" t="str">
        <f>'Employee Attendance'!$C$6</f>
        <v>January</v>
      </c>
      <c r="J13" s="87">
        <f>'Employee Attendance'!$C$5</f>
        <v>2023</v>
      </c>
      <c r="K13" s="11">
        <f>'Employee Attendance'!AJ14+'Employee Attendance'!AK14</f>
        <v>26</v>
      </c>
      <c r="L13" s="11">
        <f>'Employee Attendance'!AL14</f>
        <v>2</v>
      </c>
      <c r="M13" s="11">
        <f>'Employee Attendance'!AK14</f>
        <v>0</v>
      </c>
      <c r="N13" s="11">
        <f>'Employee Attendance'!AM14</f>
        <v>26</v>
      </c>
      <c r="O13" s="56">
        <v>50000</v>
      </c>
      <c r="P13" s="55">
        <f t="shared" si="0"/>
        <v>30000</v>
      </c>
      <c r="Q13" s="55">
        <f t="shared" si="1"/>
        <v>12000</v>
      </c>
      <c r="R13" s="56">
        <v>1600</v>
      </c>
      <c r="S13" s="55">
        <f t="shared" si="2"/>
        <v>1600</v>
      </c>
      <c r="T13" s="56">
        <v>1250</v>
      </c>
      <c r="U13" s="55">
        <f t="shared" si="3"/>
        <v>1250</v>
      </c>
      <c r="V13" s="55">
        <f t="shared" si="4"/>
        <v>5150</v>
      </c>
      <c r="W13" s="55">
        <f t="shared" si="5"/>
        <v>5150</v>
      </c>
      <c r="X13" s="55">
        <f t="shared" si="6"/>
        <v>20000</v>
      </c>
      <c r="Y13" s="55">
        <f t="shared" si="7"/>
        <v>50000</v>
      </c>
      <c r="Z13" s="56">
        <v>200</v>
      </c>
      <c r="AA13" s="58">
        <v>0.1</v>
      </c>
      <c r="AB13" s="55">
        <f t="shared" si="8"/>
        <v>5000</v>
      </c>
      <c r="AC13" s="55">
        <f t="shared" si="9"/>
        <v>6000</v>
      </c>
      <c r="AD13" s="56">
        <v>0</v>
      </c>
      <c r="AE13" s="55">
        <f t="shared" si="10"/>
        <v>11200</v>
      </c>
      <c r="AF13" s="56">
        <v>500</v>
      </c>
      <c r="AG13" s="57">
        <f t="shared" si="11"/>
        <v>39300</v>
      </c>
      <c r="AH13" s="12" t="s">
        <v>162</v>
      </c>
      <c r="AI13" s="12" t="s">
        <v>212</v>
      </c>
      <c r="AJ13" s="3">
        <v>10000000007</v>
      </c>
      <c r="AK13" s="4"/>
    </row>
    <row r="14" spans="1:39" ht="15.6" x14ac:dyDescent="0.3">
      <c r="A14" s="4"/>
      <c r="B14" s="2">
        <v>8</v>
      </c>
      <c r="C14" s="3" t="s">
        <v>38</v>
      </c>
      <c r="D14" s="2" t="s">
        <v>17</v>
      </c>
      <c r="E14" s="2" t="s">
        <v>52</v>
      </c>
      <c r="F14" s="3" t="s">
        <v>271</v>
      </c>
      <c r="G14" s="3" t="s">
        <v>79</v>
      </c>
      <c r="H14" s="3" t="s">
        <v>276</v>
      </c>
      <c r="I14" s="87" t="str">
        <f>'Employee Attendance'!$C$6</f>
        <v>January</v>
      </c>
      <c r="J14" s="87">
        <f>'Employee Attendance'!$C$5</f>
        <v>2023</v>
      </c>
      <c r="K14" s="11">
        <f>'Employee Attendance'!AJ15+'Employee Attendance'!AK15</f>
        <v>26</v>
      </c>
      <c r="L14" s="11">
        <f>'Employee Attendance'!AL15</f>
        <v>2</v>
      </c>
      <c r="M14" s="11">
        <f>'Employee Attendance'!AK15</f>
        <v>0</v>
      </c>
      <c r="N14" s="11">
        <f>'Employee Attendance'!AM15</f>
        <v>26</v>
      </c>
      <c r="O14" s="56">
        <v>35000</v>
      </c>
      <c r="P14" s="55">
        <f t="shared" si="0"/>
        <v>21000</v>
      </c>
      <c r="Q14" s="55">
        <f t="shared" si="1"/>
        <v>8400</v>
      </c>
      <c r="R14" s="56">
        <v>1600</v>
      </c>
      <c r="S14" s="55">
        <f t="shared" si="2"/>
        <v>1600</v>
      </c>
      <c r="T14" s="56">
        <v>1000</v>
      </c>
      <c r="U14" s="55">
        <f t="shared" si="3"/>
        <v>1000</v>
      </c>
      <c r="V14" s="55">
        <f t="shared" si="4"/>
        <v>3000</v>
      </c>
      <c r="W14" s="55">
        <f t="shared" si="5"/>
        <v>3000</v>
      </c>
      <c r="X14" s="55">
        <f t="shared" si="6"/>
        <v>14000</v>
      </c>
      <c r="Y14" s="55">
        <f t="shared" si="7"/>
        <v>35000</v>
      </c>
      <c r="Z14" s="56">
        <v>200</v>
      </c>
      <c r="AA14" s="58">
        <v>0.1</v>
      </c>
      <c r="AB14" s="55">
        <f t="shared" si="8"/>
        <v>0</v>
      </c>
      <c r="AC14" s="55">
        <f t="shared" si="9"/>
        <v>4200</v>
      </c>
      <c r="AD14" s="56">
        <v>2000</v>
      </c>
      <c r="AE14" s="55">
        <f t="shared" si="10"/>
        <v>6400</v>
      </c>
      <c r="AF14" s="56">
        <v>500</v>
      </c>
      <c r="AG14" s="57">
        <f t="shared" si="11"/>
        <v>29100</v>
      </c>
      <c r="AH14" s="12" t="s">
        <v>163</v>
      </c>
      <c r="AI14" s="12" t="s">
        <v>213</v>
      </c>
      <c r="AJ14" s="3">
        <v>10000000008</v>
      </c>
      <c r="AK14" s="4"/>
    </row>
    <row r="15" spans="1:39" ht="15.6" x14ac:dyDescent="0.3">
      <c r="A15" s="4"/>
      <c r="B15" s="2">
        <v>9</v>
      </c>
      <c r="C15" s="3" t="s">
        <v>39</v>
      </c>
      <c r="D15" s="2" t="s">
        <v>18</v>
      </c>
      <c r="E15" s="2" t="s">
        <v>58</v>
      </c>
      <c r="F15" s="3" t="s">
        <v>272</v>
      </c>
      <c r="G15" s="3" t="s">
        <v>78</v>
      </c>
      <c r="H15" s="3" t="s">
        <v>276</v>
      </c>
      <c r="I15" s="87" t="str">
        <f>'Employee Attendance'!$C$6</f>
        <v>January</v>
      </c>
      <c r="J15" s="87">
        <f>'Employee Attendance'!$C$5</f>
        <v>2023</v>
      </c>
      <c r="K15" s="11">
        <f>'Employee Attendance'!AJ16+'Employee Attendance'!AK16</f>
        <v>26</v>
      </c>
      <c r="L15" s="11">
        <f>'Employee Attendance'!AL16</f>
        <v>2</v>
      </c>
      <c r="M15" s="11">
        <f>'Employee Attendance'!AK16</f>
        <v>0</v>
      </c>
      <c r="N15" s="11">
        <f>'Employee Attendance'!AM16</f>
        <v>26</v>
      </c>
      <c r="O15" s="56">
        <v>15000</v>
      </c>
      <c r="P15" s="55">
        <f t="shared" si="0"/>
        <v>9000</v>
      </c>
      <c r="Q15" s="55">
        <f t="shared" si="1"/>
        <v>4500</v>
      </c>
      <c r="R15" s="56">
        <v>1600</v>
      </c>
      <c r="S15" s="55">
        <f t="shared" si="2"/>
        <v>1600</v>
      </c>
      <c r="T15" s="56">
        <v>1000</v>
      </c>
      <c r="U15" s="55">
        <f t="shared" si="3"/>
        <v>1000</v>
      </c>
      <c r="V15" s="55">
        <f t="shared" si="4"/>
        <v>-1100</v>
      </c>
      <c r="W15" s="55">
        <f t="shared" si="5"/>
        <v>-1100</v>
      </c>
      <c r="X15" s="55">
        <f t="shared" si="6"/>
        <v>6000</v>
      </c>
      <c r="Y15" s="55">
        <f t="shared" si="7"/>
        <v>15000</v>
      </c>
      <c r="Z15" s="56">
        <v>150</v>
      </c>
      <c r="AA15" s="58">
        <v>0.1</v>
      </c>
      <c r="AB15" s="55">
        <f t="shared" si="8"/>
        <v>0</v>
      </c>
      <c r="AC15" s="55">
        <f t="shared" si="9"/>
        <v>1800</v>
      </c>
      <c r="AD15" s="56">
        <v>1500</v>
      </c>
      <c r="AE15" s="55">
        <f t="shared" si="10"/>
        <v>3450</v>
      </c>
      <c r="AF15" s="56">
        <v>500</v>
      </c>
      <c r="AG15" s="57">
        <f t="shared" si="11"/>
        <v>12050</v>
      </c>
      <c r="AH15" s="12" t="s">
        <v>164</v>
      </c>
      <c r="AI15" s="12" t="s">
        <v>214</v>
      </c>
      <c r="AJ15" s="3">
        <v>10000000009</v>
      </c>
      <c r="AK15" s="4"/>
    </row>
    <row r="16" spans="1:39" ht="15.6" x14ac:dyDescent="0.3">
      <c r="A16" s="4"/>
      <c r="B16" s="2">
        <v>10</v>
      </c>
      <c r="C16" s="3" t="s">
        <v>40</v>
      </c>
      <c r="D16" s="2" t="s">
        <v>19</v>
      </c>
      <c r="E16" s="2" t="s">
        <v>67</v>
      </c>
      <c r="F16" s="3" t="s">
        <v>273</v>
      </c>
      <c r="G16" s="3" t="s">
        <v>78</v>
      </c>
      <c r="H16" s="3" t="s">
        <v>276</v>
      </c>
      <c r="I16" s="87" t="str">
        <f>'Employee Attendance'!$C$6</f>
        <v>January</v>
      </c>
      <c r="J16" s="87">
        <f>'Employee Attendance'!$C$5</f>
        <v>2023</v>
      </c>
      <c r="K16" s="11">
        <f>'Employee Attendance'!AJ17+'Employee Attendance'!AK17</f>
        <v>26</v>
      </c>
      <c r="L16" s="11">
        <f>'Employee Attendance'!AL17</f>
        <v>2</v>
      </c>
      <c r="M16" s="11">
        <f>'Employee Attendance'!AK17</f>
        <v>0</v>
      </c>
      <c r="N16" s="11">
        <f>'Employee Attendance'!AM17</f>
        <v>26</v>
      </c>
      <c r="O16" s="56">
        <v>13500</v>
      </c>
      <c r="P16" s="55">
        <f t="shared" si="0"/>
        <v>8100.0000000000009</v>
      </c>
      <c r="Q16" s="55">
        <f t="shared" si="1"/>
        <v>4050</v>
      </c>
      <c r="R16" s="56">
        <v>1600</v>
      </c>
      <c r="S16" s="55">
        <f t="shared" si="2"/>
        <v>1600</v>
      </c>
      <c r="T16" s="56">
        <v>800</v>
      </c>
      <c r="U16" s="55">
        <f t="shared" si="3"/>
        <v>800</v>
      </c>
      <c r="V16" s="55">
        <f t="shared" si="4"/>
        <v>-1050</v>
      </c>
      <c r="W16" s="55">
        <f t="shared" si="5"/>
        <v>-1050</v>
      </c>
      <c r="X16" s="55">
        <f t="shared" si="6"/>
        <v>5400</v>
      </c>
      <c r="Y16" s="55">
        <f t="shared" si="7"/>
        <v>13500</v>
      </c>
      <c r="Z16" s="56">
        <v>0</v>
      </c>
      <c r="AA16" s="58">
        <v>0.1</v>
      </c>
      <c r="AB16" s="55">
        <f t="shared" si="8"/>
        <v>0</v>
      </c>
      <c r="AC16" s="55">
        <f t="shared" si="9"/>
        <v>1800</v>
      </c>
      <c r="AD16" s="56">
        <v>5000</v>
      </c>
      <c r="AE16" s="55">
        <f t="shared" si="10"/>
        <v>6800</v>
      </c>
      <c r="AF16" s="56">
        <v>500</v>
      </c>
      <c r="AG16" s="57">
        <f t="shared" si="11"/>
        <v>7200</v>
      </c>
      <c r="AH16" s="12" t="s">
        <v>165</v>
      </c>
      <c r="AI16" s="12" t="s">
        <v>215</v>
      </c>
      <c r="AJ16" s="3">
        <v>10000000010</v>
      </c>
      <c r="AK16" s="4"/>
    </row>
    <row r="17" spans="1:37" ht="15.6" x14ac:dyDescent="0.3">
      <c r="A17" s="4"/>
      <c r="B17" s="2">
        <v>11</v>
      </c>
      <c r="C17" s="3" t="s">
        <v>41</v>
      </c>
      <c r="D17" s="2" t="s">
        <v>20</v>
      </c>
      <c r="E17" s="2" t="s">
        <v>54</v>
      </c>
      <c r="F17" s="3" t="s">
        <v>274</v>
      </c>
      <c r="G17" s="3" t="s">
        <v>78</v>
      </c>
      <c r="H17" s="3" t="s">
        <v>276</v>
      </c>
      <c r="I17" s="87" t="str">
        <f>'Employee Attendance'!$C$6</f>
        <v>January</v>
      </c>
      <c r="J17" s="87">
        <f>'Employee Attendance'!$C$5</f>
        <v>2023</v>
      </c>
      <c r="K17" s="11">
        <f>'Employee Attendance'!AJ18+'Employee Attendance'!AK18</f>
        <v>26</v>
      </c>
      <c r="L17" s="11">
        <f>'Employee Attendance'!AL18</f>
        <v>2</v>
      </c>
      <c r="M17" s="11">
        <f>'Employee Attendance'!AK18</f>
        <v>0</v>
      </c>
      <c r="N17" s="11">
        <f>'Employee Attendance'!AM18</f>
        <v>26</v>
      </c>
      <c r="O17" s="56">
        <v>28000</v>
      </c>
      <c r="P17" s="55">
        <f t="shared" si="0"/>
        <v>16800</v>
      </c>
      <c r="Q17" s="55">
        <f t="shared" si="1"/>
        <v>8400</v>
      </c>
      <c r="R17" s="56">
        <v>1600</v>
      </c>
      <c r="S17" s="55">
        <f t="shared" si="2"/>
        <v>1600</v>
      </c>
      <c r="T17" s="56">
        <v>1200</v>
      </c>
      <c r="U17" s="55">
        <f t="shared" si="3"/>
        <v>1200</v>
      </c>
      <c r="V17" s="55">
        <f t="shared" si="4"/>
        <v>0</v>
      </c>
      <c r="W17" s="55">
        <f t="shared" si="5"/>
        <v>0</v>
      </c>
      <c r="X17" s="55">
        <f t="shared" si="6"/>
        <v>11200</v>
      </c>
      <c r="Y17" s="55">
        <f t="shared" si="7"/>
        <v>28000</v>
      </c>
      <c r="Z17" s="56">
        <v>200</v>
      </c>
      <c r="AA17" s="58">
        <v>0.1</v>
      </c>
      <c r="AB17" s="55">
        <f t="shared" si="8"/>
        <v>0</v>
      </c>
      <c r="AC17" s="55">
        <f t="shared" si="9"/>
        <v>3360</v>
      </c>
      <c r="AD17" s="56">
        <v>3500</v>
      </c>
      <c r="AE17" s="55">
        <f t="shared" si="10"/>
        <v>7060</v>
      </c>
      <c r="AF17" s="56">
        <v>500</v>
      </c>
      <c r="AG17" s="57">
        <f t="shared" si="11"/>
        <v>21440</v>
      </c>
      <c r="AH17" s="12" t="s">
        <v>166</v>
      </c>
      <c r="AI17" s="12" t="s">
        <v>216</v>
      </c>
      <c r="AJ17" s="3">
        <v>10000000011</v>
      </c>
      <c r="AK17" s="4"/>
    </row>
    <row r="18" spans="1:37" ht="15.6" x14ac:dyDescent="0.3">
      <c r="A18" s="4"/>
      <c r="B18" s="2">
        <v>12</v>
      </c>
      <c r="C18" s="3" t="s">
        <v>42</v>
      </c>
      <c r="D18" s="2" t="s">
        <v>21</v>
      </c>
      <c r="E18" s="2" t="s">
        <v>55</v>
      </c>
      <c r="F18" s="3" t="s">
        <v>275</v>
      </c>
      <c r="G18" s="3" t="s">
        <v>78</v>
      </c>
      <c r="H18" s="3" t="s">
        <v>276</v>
      </c>
      <c r="I18" s="87" t="str">
        <f>'Employee Attendance'!$C$6</f>
        <v>January</v>
      </c>
      <c r="J18" s="87">
        <f>'Employee Attendance'!$C$5</f>
        <v>2023</v>
      </c>
      <c r="K18" s="11">
        <f>'Employee Attendance'!AJ19+'Employee Attendance'!AK19</f>
        <v>26</v>
      </c>
      <c r="L18" s="11">
        <f>'Employee Attendance'!AL19</f>
        <v>2</v>
      </c>
      <c r="M18" s="11">
        <f>'Employee Attendance'!AK19</f>
        <v>0</v>
      </c>
      <c r="N18" s="11">
        <f>'Employee Attendance'!AM19</f>
        <v>26</v>
      </c>
      <c r="O18" s="56">
        <v>10000</v>
      </c>
      <c r="P18" s="55">
        <f t="shared" si="0"/>
        <v>6000</v>
      </c>
      <c r="Q18" s="55">
        <f t="shared" si="1"/>
        <v>3000</v>
      </c>
      <c r="R18" s="56">
        <v>1600</v>
      </c>
      <c r="S18" s="55">
        <f t="shared" si="2"/>
        <v>1600</v>
      </c>
      <c r="T18" s="56">
        <v>1250</v>
      </c>
      <c r="U18" s="55">
        <f t="shared" si="3"/>
        <v>1250</v>
      </c>
      <c r="V18" s="55">
        <f t="shared" si="4"/>
        <v>-1850</v>
      </c>
      <c r="W18" s="55">
        <f t="shared" si="5"/>
        <v>-1850.0000000000002</v>
      </c>
      <c r="X18" s="55">
        <f t="shared" si="6"/>
        <v>4000</v>
      </c>
      <c r="Y18" s="55">
        <f t="shared" si="7"/>
        <v>10000</v>
      </c>
      <c r="Z18" s="56">
        <v>0</v>
      </c>
      <c r="AA18" s="58">
        <v>0.1</v>
      </c>
      <c r="AB18" s="55">
        <f t="shared" si="8"/>
        <v>0</v>
      </c>
      <c r="AC18" s="55">
        <f t="shared" si="9"/>
        <v>1800</v>
      </c>
      <c r="AD18" s="56">
        <v>1500</v>
      </c>
      <c r="AE18" s="55">
        <f t="shared" si="10"/>
        <v>3300</v>
      </c>
      <c r="AF18" s="56">
        <v>500</v>
      </c>
      <c r="AG18" s="57">
        <f t="shared" si="11"/>
        <v>7200</v>
      </c>
      <c r="AH18" s="12" t="s">
        <v>167</v>
      </c>
      <c r="AI18" s="12" t="s">
        <v>217</v>
      </c>
      <c r="AJ18" s="3">
        <v>10000000012</v>
      </c>
      <c r="AK18" s="4"/>
    </row>
    <row r="19" spans="1:37" ht="15.6" x14ac:dyDescent="0.3">
      <c r="A19" s="4"/>
      <c r="B19" s="2">
        <v>13</v>
      </c>
      <c r="C19" s="3" t="s">
        <v>43</v>
      </c>
      <c r="D19" s="2" t="s">
        <v>22</v>
      </c>
      <c r="E19" s="2" t="s">
        <v>56</v>
      </c>
      <c r="F19" s="3" t="s">
        <v>276</v>
      </c>
      <c r="G19" s="3" t="s">
        <v>78</v>
      </c>
      <c r="H19" s="3" t="s">
        <v>276</v>
      </c>
      <c r="I19" s="87" t="str">
        <f>'Employee Attendance'!$C$6</f>
        <v>January</v>
      </c>
      <c r="J19" s="87">
        <f>'Employee Attendance'!$C$5</f>
        <v>2023</v>
      </c>
      <c r="K19" s="11">
        <f>'Employee Attendance'!AJ20+'Employee Attendance'!AK20</f>
        <v>26</v>
      </c>
      <c r="L19" s="11">
        <f>'Employee Attendance'!AL20</f>
        <v>2</v>
      </c>
      <c r="M19" s="11">
        <f>'Employee Attendance'!AK20</f>
        <v>0</v>
      </c>
      <c r="N19" s="11">
        <f>'Employee Attendance'!AM20</f>
        <v>26</v>
      </c>
      <c r="O19" s="56">
        <v>10000</v>
      </c>
      <c r="P19" s="55">
        <f t="shared" si="0"/>
        <v>6000</v>
      </c>
      <c r="Q19" s="55">
        <f t="shared" si="1"/>
        <v>3000</v>
      </c>
      <c r="R19" s="56">
        <v>1600</v>
      </c>
      <c r="S19" s="55">
        <f t="shared" si="2"/>
        <v>1600</v>
      </c>
      <c r="T19" s="56">
        <v>1250</v>
      </c>
      <c r="U19" s="55">
        <f t="shared" si="3"/>
        <v>1250</v>
      </c>
      <c r="V19" s="55">
        <f t="shared" si="4"/>
        <v>-1850</v>
      </c>
      <c r="W19" s="55">
        <f t="shared" si="5"/>
        <v>-1850.0000000000002</v>
      </c>
      <c r="X19" s="55">
        <f t="shared" si="6"/>
        <v>4000</v>
      </c>
      <c r="Y19" s="55">
        <f t="shared" si="7"/>
        <v>10000</v>
      </c>
      <c r="Z19" s="56">
        <v>0</v>
      </c>
      <c r="AA19" s="58">
        <v>0.1</v>
      </c>
      <c r="AB19" s="55">
        <f t="shared" si="8"/>
        <v>0</v>
      </c>
      <c r="AC19" s="55">
        <f t="shared" si="9"/>
        <v>1800</v>
      </c>
      <c r="AD19" s="56">
        <v>0</v>
      </c>
      <c r="AE19" s="55">
        <f t="shared" si="10"/>
        <v>1800</v>
      </c>
      <c r="AF19" s="56">
        <v>500</v>
      </c>
      <c r="AG19" s="57">
        <f t="shared" si="11"/>
        <v>8700</v>
      </c>
      <c r="AH19" s="12" t="s">
        <v>168</v>
      </c>
      <c r="AI19" s="12" t="s">
        <v>218</v>
      </c>
      <c r="AJ19" s="3">
        <v>10000000013</v>
      </c>
      <c r="AK19" s="4"/>
    </row>
    <row r="20" spans="1:37" ht="15.6" x14ac:dyDescent="0.3">
      <c r="A20" s="4"/>
      <c r="B20" s="2">
        <v>14</v>
      </c>
      <c r="C20" s="3" t="s">
        <v>44</v>
      </c>
      <c r="D20" s="2" t="s">
        <v>23</v>
      </c>
      <c r="E20" s="2" t="s">
        <v>58</v>
      </c>
      <c r="F20" s="3" t="s">
        <v>277</v>
      </c>
      <c r="G20" s="3" t="s">
        <v>78</v>
      </c>
      <c r="H20" s="3" t="s">
        <v>269</v>
      </c>
      <c r="I20" s="87" t="str">
        <f>'Employee Attendance'!$C$6</f>
        <v>January</v>
      </c>
      <c r="J20" s="87">
        <f>'Employee Attendance'!$C$5</f>
        <v>2023</v>
      </c>
      <c r="K20" s="11">
        <f>'Employee Attendance'!AJ21+'Employee Attendance'!AK21</f>
        <v>26</v>
      </c>
      <c r="L20" s="11">
        <f>'Employee Attendance'!AL21</f>
        <v>2</v>
      </c>
      <c r="M20" s="11">
        <f>'Employee Attendance'!AK21</f>
        <v>0</v>
      </c>
      <c r="N20" s="11">
        <f>'Employee Attendance'!AM21</f>
        <v>26</v>
      </c>
      <c r="O20" s="56">
        <v>18000</v>
      </c>
      <c r="P20" s="55">
        <f t="shared" si="0"/>
        <v>10800</v>
      </c>
      <c r="Q20" s="55">
        <f t="shared" si="1"/>
        <v>5400</v>
      </c>
      <c r="R20" s="56">
        <v>1600</v>
      </c>
      <c r="S20" s="55">
        <f t="shared" si="2"/>
        <v>1600</v>
      </c>
      <c r="T20" s="56">
        <v>1000</v>
      </c>
      <c r="U20" s="55">
        <f t="shared" si="3"/>
        <v>1000</v>
      </c>
      <c r="V20" s="55">
        <f t="shared" si="4"/>
        <v>-800</v>
      </c>
      <c r="W20" s="55">
        <f t="shared" si="5"/>
        <v>-800</v>
      </c>
      <c r="X20" s="55">
        <f t="shared" si="6"/>
        <v>7200</v>
      </c>
      <c r="Y20" s="55">
        <f t="shared" si="7"/>
        <v>18000</v>
      </c>
      <c r="Z20" s="56">
        <v>150</v>
      </c>
      <c r="AA20" s="58">
        <v>0.1</v>
      </c>
      <c r="AB20" s="55">
        <f t="shared" si="8"/>
        <v>0</v>
      </c>
      <c r="AC20" s="55">
        <f t="shared" si="9"/>
        <v>2160</v>
      </c>
      <c r="AD20" s="56">
        <v>0</v>
      </c>
      <c r="AE20" s="55">
        <f t="shared" si="10"/>
        <v>2310</v>
      </c>
      <c r="AF20" s="56">
        <v>500</v>
      </c>
      <c r="AG20" s="57">
        <f t="shared" si="11"/>
        <v>16190</v>
      </c>
      <c r="AH20" s="12" t="s">
        <v>169</v>
      </c>
      <c r="AI20" s="12" t="s">
        <v>219</v>
      </c>
      <c r="AJ20" s="3">
        <v>10000000014</v>
      </c>
      <c r="AK20" s="4"/>
    </row>
    <row r="21" spans="1:37" ht="15.6" x14ac:dyDescent="0.3">
      <c r="A21" s="4"/>
      <c r="B21" s="2">
        <v>15</v>
      </c>
      <c r="C21" s="3" t="s">
        <v>45</v>
      </c>
      <c r="D21" s="2" t="s">
        <v>24</v>
      </c>
      <c r="E21" s="2" t="s">
        <v>59</v>
      </c>
      <c r="F21" s="3" t="s">
        <v>278</v>
      </c>
      <c r="G21" s="3" t="s">
        <v>78</v>
      </c>
      <c r="H21" s="3" t="s">
        <v>276</v>
      </c>
      <c r="I21" s="87" t="str">
        <f>'Employee Attendance'!$C$6</f>
        <v>January</v>
      </c>
      <c r="J21" s="87">
        <f>'Employee Attendance'!$C$5</f>
        <v>2023</v>
      </c>
      <c r="K21" s="11">
        <f>'Employee Attendance'!AJ22+'Employee Attendance'!AK22</f>
        <v>26</v>
      </c>
      <c r="L21" s="11">
        <f>'Employee Attendance'!AL22</f>
        <v>2</v>
      </c>
      <c r="M21" s="11">
        <f>'Employee Attendance'!AK22</f>
        <v>0</v>
      </c>
      <c r="N21" s="11">
        <f>'Employee Attendance'!AM22</f>
        <v>26</v>
      </c>
      <c r="O21" s="56">
        <v>26000</v>
      </c>
      <c r="P21" s="55">
        <f t="shared" si="0"/>
        <v>15600</v>
      </c>
      <c r="Q21" s="55">
        <f t="shared" si="1"/>
        <v>7800</v>
      </c>
      <c r="R21" s="56">
        <v>1600</v>
      </c>
      <c r="S21" s="55">
        <f t="shared" si="2"/>
        <v>1600</v>
      </c>
      <c r="T21" s="56">
        <v>1000</v>
      </c>
      <c r="U21" s="55">
        <f t="shared" si="3"/>
        <v>1000</v>
      </c>
      <c r="V21" s="55">
        <f t="shared" si="4"/>
        <v>0</v>
      </c>
      <c r="W21" s="55">
        <f t="shared" si="5"/>
        <v>0</v>
      </c>
      <c r="X21" s="55">
        <f t="shared" si="6"/>
        <v>10400</v>
      </c>
      <c r="Y21" s="55">
        <f t="shared" si="7"/>
        <v>26000</v>
      </c>
      <c r="Z21" s="56">
        <v>200</v>
      </c>
      <c r="AA21" s="58">
        <v>0.1</v>
      </c>
      <c r="AB21" s="55">
        <f t="shared" si="8"/>
        <v>0</v>
      </c>
      <c r="AC21" s="55">
        <f t="shared" si="9"/>
        <v>3120</v>
      </c>
      <c r="AD21" s="56">
        <v>0</v>
      </c>
      <c r="AE21" s="55">
        <f t="shared" si="10"/>
        <v>3320</v>
      </c>
      <c r="AF21" s="56">
        <v>500</v>
      </c>
      <c r="AG21" s="57">
        <f t="shared" si="11"/>
        <v>23180</v>
      </c>
      <c r="AH21" s="12" t="s">
        <v>170</v>
      </c>
      <c r="AI21" s="12" t="s">
        <v>220</v>
      </c>
      <c r="AJ21" s="3">
        <v>10000000015</v>
      </c>
      <c r="AK21" s="4"/>
    </row>
    <row r="22" spans="1:37" ht="15.6" x14ac:dyDescent="0.3">
      <c r="A22" s="4"/>
      <c r="B22" s="2">
        <v>16</v>
      </c>
      <c r="C22" s="3" t="s">
        <v>46</v>
      </c>
      <c r="D22" s="2" t="s">
        <v>25</v>
      </c>
      <c r="E22" s="2" t="s">
        <v>57</v>
      </c>
      <c r="F22" s="3" t="s">
        <v>279</v>
      </c>
      <c r="G22" s="3" t="s">
        <v>78</v>
      </c>
      <c r="H22" s="3" t="s">
        <v>276</v>
      </c>
      <c r="I22" s="87" t="str">
        <f>'Employee Attendance'!$C$6</f>
        <v>January</v>
      </c>
      <c r="J22" s="87">
        <f>'Employee Attendance'!$C$5</f>
        <v>2023</v>
      </c>
      <c r="K22" s="11">
        <f>'Employee Attendance'!AJ23+'Employee Attendance'!AK23</f>
        <v>26</v>
      </c>
      <c r="L22" s="11">
        <f>'Employee Attendance'!AL23</f>
        <v>2</v>
      </c>
      <c r="M22" s="11">
        <f>'Employee Attendance'!AK23</f>
        <v>0</v>
      </c>
      <c r="N22" s="11">
        <f>'Employee Attendance'!AM23</f>
        <v>26</v>
      </c>
      <c r="O22" s="56">
        <v>22000</v>
      </c>
      <c r="P22" s="55">
        <f t="shared" si="0"/>
        <v>13200</v>
      </c>
      <c r="Q22" s="55">
        <f t="shared" si="1"/>
        <v>6600</v>
      </c>
      <c r="R22" s="56">
        <v>1600</v>
      </c>
      <c r="S22" s="55">
        <f t="shared" si="2"/>
        <v>1600</v>
      </c>
      <c r="T22" s="56">
        <v>800</v>
      </c>
      <c r="U22" s="55">
        <f t="shared" si="3"/>
        <v>800</v>
      </c>
      <c r="V22" s="55">
        <f t="shared" si="4"/>
        <v>-200</v>
      </c>
      <c r="W22" s="55">
        <f t="shared" si="5"/>
        <v>-200</v>
      </c>
      <c r="X22" s="55">
        <f t="shared" si="6"/>
        <v>8800</v>
      </c>
      <c r="Y22" s="55">
        <f t="shared" si="7"/>
        <v>22000</v>
      </c>
      <c r="Z22" s="56">
        <v>200</v>
      </c>
      <c r="AA22" s="58">
        <v>0.1</v>
      </c>
      <c r="AB22" s="55">
        <f t="shared" si="8"/>
        <v>0</v>
      </c>
      <c r="AC22" s="55">
        <f t="shared" si="9"/>
        <v>2640</v>
      </c>
      <c r="AD22" s="56">
        <v>0</v>
      </c>
      <c r="AE22" s="55">
        <f t="shared" si="10"/>
        <v>2840</v>
      </c>
      <c r="AF22" s="56">
        <v>500</v>
      </c>
      <c r="AG22" s="57">
        <f t="shared" si="11"/>
        <v>19660</v>
      </c>
      <c r="AH22" s="12" t="s">
        <v>171</v>
      </c>
      <c r="AI22" s="12" t="s">
        <v>221</v>
      </c>
      <c r="AJ22" s="3">
        <v>10000000016</v>
      </c>
      <c r="AK22" s="4"/>
    </row>
    <row r="23" spans="1:37" ht="15.6" x14ac:dyDescent="0.3">
      <c r="A23" s="4"/>
      <c r="B23" s="2">
        <v>17</v>
      </c>
      <c r="C23" s="3" t="s">
        <v>47</v>
      </c>
      <c r="D23" s="2" t="s">
        <v>26</v>
      </c>
      <c r="E23" s="2" t="s">
        <v>58</v>
      </c>
      <c r="F23" s="3" t="s">
        <v>280</v>
      </c>
      <c r="G23" s="3" t="s">
        <v>78</v>
      </c>
      <c r="H23" s="3" t="s">
        <v>276</v>
      </c>
      <c r="I23" s="87" t="str">
        <f>'Employee Attendance'!$C$6</f>
        <v>January</v>
      </c>
      <c r="J23" s="87">
        <f>'Employee Attendance'!$C$5</f>
        <v>2023</v>
      </c>
      <c r="K23" s="11">
        <f>'Employee Attendance'!AJ24+'Employee Attendance'!AK24</f>
        <v>26</v>
      </c>
      <c r="L23" s="11">
        <f>'Employee Attendance'!AL24</f>
        <v>2</v>
      </c>
      <c r="M23" s="11">
        <f>'Employee Attendance'!AK24</f>
        <v>0</v>
      </c>
      <c r="N23" s="11">
        <f>'Employee Attendance'!AM24</f>
        <v>26</v>
      </c>
      <c r="O23" s="56">
        <v>25000</v>
      </c>
      <c r="P23" s="55">
        <f t="shared" si="0"/>
        <v>15000</v>
      </c>
      <c r="Q23" s="55">
        <f t="shared" si="1"/>
        <v>7500</v>
      </c>
      <c r="R23" s="56">
        <v>1600</v>
      </c>
      <c r="S23" s="55">
        <f t="shared" si="2"/>
        <v>1600</v>
      </c>
      <c r="T23" s="56">
        <v>1200</v>
      </c>
      <c r="U23" s="55">
        <f t="shared" si="3"/>
        <v>1200</v>
      </c>
      <c r="V23" s="55">
        <f t="shared" si="4"/>
        <v>-300</v>
      </c>
      <c r="W23" s="55">
        <f t="shared" si="5"/>
        <v>-300</v>
      </c>
      <c r="X23" s="55">
        <f t="shared" si="6"/>
        <v>10000</v>
      </c>
      <c r="Y23" s="55">
        <f t="shared" si="7"/>
        <v>25000</v>
      </c>
      <c r="Z23" s="56">
        <v>200</v>
      </c>
      <c r="AA23" s="58">
        <v>0.1</v>
      </c>
      <c r="AB23" s="55">
        <f t="shared" si="8"/>
        <v>0</v>
      </c>
      <c r="AC23" s="55">
        <f t="shared" si="9"/>
        <v>3000</v>
      </c>
      <c r="AD23" s="56">
        <v>0</v>
      </c>
      <c r="AE23" s="55">
        <f t="shared" si="10"/>
        <v>3200</v>
      </c>
      <c r="AF23" s="56">
        <v>500</v>
      </c>
      <c r="AG23" s="57">
        <f t="shared" si="11"/>
        <v>22300</v>
      </c>
      <c r="AH23" s="12" t="s">
        <v>172</v>
      </c>
      <c r="AI23" s="12" t="s">
        <v>222</v>
      </c>
      <c r="AJ23" s="3">
        <v>10000000017</v>
      </c>
      <c r="AK23" s="4"/>
    </row>
    <row r="24" spans="1:37" ht="15.6" x14ac:dyDescent="0.3">
      <c r="A24" s="4"/>
      <c r="B24" s="2">
        <v>18</v>
      </c>
      <c r="C24" s="3" t="s">
        <v>48</v>
      </c>
      <c r="D24" s="2" t="s">
        <v>9</v>
      </c>
      <c r="E24" s="2" t="s">
        <v>57</v>
      </c>
      <c r="F24" s="3" t="s">
        <v>281</v>
      </c>
      <c r="G24" s="3" t="s">
        <v>78</v>
      </c>
      <c r="H24" s="3" t="s">
        <v>276</v>
      </c>
      <c r="I24" s="87" t="str">
        <f>'Employee Attendance'!$C$6</f>
        <v>January</v>
      </c>
      <c r="J24" s="87">
        <f>'Employee Attendance'!$C$5</f>
        <v>2023</v>
      </c>
      <c r="K24" s="11">
        <f>'Employee Attendance'!AJ25+'Employee Attendance'!AK25</f>
        <v>26</v>
      </c>
      <c r="L24" s="11">
        <f>'Employee Attendance'!AL25</f>
        <v>2</v>
      </c>
      <c r="M24" s="11">
        <f>'Employee Attendance'!AK25</f>
        <v>0</v>
      </c>
      <c r="N24" s="11">
        <f>'Employee Attendance'!AM25</f>
        <v>26</v>
      </c>
      <c r="O24" s="56">
        <v>12500</v>
      </c>
      <c r="P24" s="55">
        <f t="shared" si="0"/>
        <v>7500</v>
      </c>
      <c r="Q24" s="55">
        <f t="shared" si="1"/>
        <v>3750</v>
      </c>
      <c r="R24" s="56">
        <v>1600</v>
      </c>
      <c r="S24" s="55">
        <f t="shared" si="2"/>
        <v>1600</v>
      </c>
      <c r="T24" s="56">
        <v>1250</v>
      </c>
      <c r="U24" s="55">
        <f t="shared" si="3"/>
        <v>1250</v>
      </c>
      <c r="V24" s="55">
        <f t="shared" si="4"/>
        <v>-1600</v>
      </c>
      <c r="W24" s="55">
        <f t="shared" si="5"/>
        <v>-1600</v>
      </c>
      <c r="X24" s="55">
        <f t="shared" si="6"/>
        <v>5000</v>
      </c>
      <c r="Y24" s="55">
        <f t="shared" si="7"/>
        <v>12500</v>
      </c>
      <c r="Z24" s="56">
        <v>0</v>
      </c>
      <c r="AA24" s="58">
        <v>0.1</v>
      </c>
      <c r="AB24" s="55">
        <f t="shared" si="8"/>
        <v>0</v>
      </c>
      <c r="AC24" s="55">
        <f t="shared" si="9"/>
        <v>1800</v>
      </c>
      <c r="AD24" s="56">
        <v>0</v>
      </c>
      <c r="AE24" s="55">
        <f t="shared" si="10"/>
        <v>1800</v>
      </c>
      <c r="AF24" s="56">
        <v>500</v>
      </c>
      <c r="AG24" s="57">
        <f t="shared" si="11"/>
        <v>11200</v>
      </c>
      <c r="AH24" s="12" t="s">
        <v>173</v>
      </c>
      <c r="AI24" s="12" t="s">
        <v>223</v>
      </c>
      <c r="AJ24" s="3">
        <v>10000000018</v>
      </c>
      <c r="AK24" s="4"/>
    </row>
    <row r="25" spans="1:37" ht="15.6" x14ac:dyDescent="0.3">
      <c r="A25" s="4"/>
      <c r="B25" s="2">
        <v>19</v>
      </c>
      <c r="C25" s="3" t="s">
        <v>49</v>
      </c>
      <c r="D25" s="2" t="s">
        <v>27</v>
      </c>
      <c r="E25" s="2" t="s">
        <v>57</v>
      </c>
      <c r="F25" s="3" t="s">
        <v>282</v>
      </c>
      <c r="G25" s="3" t="s">
        <v>78</v>
      </c>
      <c r="H25" s="3" t="s">
        <v>276</v>
      </c>
      <c r="I25" s="87" t="str">
        <f>'Employee Attendance'!$C$6</f>
        <v>January</v>
      </c>
      <c r="J25" s="87">
        <f>'Employee Attendance'!$C$5</f>
        <v>2023</v>
      </c>
      <c r="K25" s="11">
        <f>'Employee Attendance'!AJ26+'Employee Attendance'!AK26</f>
        <v>26</v>
      </c>
      <c r="L25" s="11">
        <f>'Employee Attendance'!AL26</f>
        <v>2</v>
      </c>
      <c r="M25" s="11">
        <f>'Employee Attendance'!AK26</f>
        <v>0</v>
      </c>
      <c r="N25" s="11">
        <f>'Employee Attendance'!AM26</f>
        <v>26</v>
      </c>
      <c r="O25" s="56">
        <v>25000</v>
      </c>
      <c r="P25" s="55">
        <f t="shared" si="0"/>
        <v>15000</v>
      </c>
      <c r="Q25" s="55">
        <f t="shared" si="1"/>
        <v>7500</v>
      </c>
      <c r="R25" s="56">
        <v>1600</v>
      </c>
      <c r="S25" s="55">
        <f t="shared" si="2"/>
        <v>1600</v>
      </c>
      <c r="T25" s="56">
        <v>1250</v>
      </c>
      <c r="U25" s="55">
        <f t="shared" si="3"/>
        <v>1250</v>
      </c>
      <c r="V25" s="55">
        <f t="shared" si="4"/>
        <v>-350</v>
      </c>
      <c r="W25" s="55">
        <f t="shared" si="5"/>
        <v>-350</v>
      </c>
      <c r="X25" s="55">
        <f t="shared" si="6"/>
        <v>10000</v>
      </c>
      <c r="Y25" s="55">
        <f t="shared" si="7"/>
        <v>25000</v>
      </c>
      <c r="Z25" s="56">
        <v>200</v>
      </c>
      <c r="AA25" s="97">
        <v>0.1</v>
      </c>
      <c r="AB25" s="55">
        <f t="shared" si="8"/>
        <v>0</v>
      </c>
      <c r="AC25" s="55">
        <f t="shared" si="9"/>
        <v>3000</v>
      </c>
      <c r="AD25" s="56">
        <v>0</v>
      </c>
      <c r="AE25" s="55">
        <f t="shared" si="10"/>
        <v>3200</v>
      </c>
      <c r="AF25" s="56">
        <v>500</v>
      </c>
      <c r="AG25" s="57">
        <f t="shared" si="11"/>
        <v>22300</v>
      </c>
      <c r="AH25" s="12" t="s">
        <v>174</v>
      </c>
      <c r="AI25" s="12" t="s">
        <v>224</v>
      </c>
      <c r="AJ25" s="3">
        <v>10000000019</v>
      </c>
      <c r="AK25" s="4"/>
    </row>
    <row r="26" spans="1:37" ht="15.6" x14ac:dyDescent="0.3">
      <c r="A26" s="4"/>
      <c r="B26" s="2">
        <v>20</v>
      </c>
      <c r="C26" s="3" t="s">
        <v>50</v>
      </c>
      <c r="D26" s="2" t="s">
        <v>28</v>
      </c>
      <c r="E26" s="2" t="s">
        <v>59</v>
      </c>
      <c r="F26" s="3" t="s">
        <v>283</v>
      </c>
      <c r="G26" s="3" t="s">
        <v>78</v>
      </c>
      <c r="H26" s="3" t="s">
        <v>276</v>
      </c>
      <c r="I26" s="87" t="str">
        <f>'Employee Attendance'!$C$6</f>
        <v>January</v>
      </c>
      <c r="J26" s="87">
        <f>'Employee Attendance'!$C$5</f>
        <v>2023</v>
      </c>
      <c r="K26" s="11">
        <f>'Employee Attendance'!AJ27+'Employee Attendance'!AK27</f>
        <v>26</v>
      </c>
      <c r="L26" s="11">
        <f>'Employee Attendance'!AL27</f>
        <v>2</v>
      </c>
      <c r="M26" s="11">
        <f>'Employee Attendance'!AK27</f>
        <v>0</v>
      </c>
      <c r="N26" s="11">
        <f>'Employee Attendance'!AM27</f>
        <v>26</v>
      </c>
      <c r="O26" s="56">
        <v>25000</v>
      </c>
      <c r="P26" s="55">
        <f t="shared" si="0"/>
        <v>15000</v>
      </c>
      <c r="Q26" s="55">
        <f t="shared" si="1"/>
        <v>7500</v>
      </c>
      <c r="R26" s="56">
        <v>1600</v>
      </c>
      <c r="S26" s="55">
        <f t="shared" si="2"/>
        <v>1600</v>
      </c>
      <c r="T26" s="56">
        <v>1000</v>
      </c>
      <c r="U26" s="55">
        <f t="shared" si="3"/>
        <v>1000</v>
      </c>
      <c r="V26" s="55">
        <f t="shared" si="4"/>
        <v>-100</v>
      </c>
      <c r="W26" s="55">
        <f t="shared" si="5"/>
        <v>-100</v>
      </c>
      <c r="X26" s="55">
        <f t="shared" si="6"/>
        <v>10000</v>
      </c>
      <c r="Y26" s="55">
        <f t="shared" si="7"/>
        <v>25000</v>
      </c>
      <c r="Z26" s="56">
        <v>200</v>
      </c>
      <c r="AA26" s="97">
        <v>0.1</v>
      </c>
      <c r="AB26" s="55">
        <f t="shared" si="8"/>
        <v>0</v>
      </c>
      <c r="AC26" s="55">
        <f t="shared" si="9"/>
        <v>3000</v>
      </c>
      <c r="AD26" s="56">
        <v>0</v>
      </c>
      <c r="AE26" s="55">
        <f t="shared" si="10"/>
        <v>3200</v>
      </c>
      <c r="AF26" s="56">
        <v>500</v>
      </c>
      <c r="AG26" s="57">
        <f t="shared" si="11"/>
        <v>22300</v>
      </c>
      <c r="AH26" s="12" t="s">
        <v>175</v>
      </c>
      <c r="AI26" s="12" t="s">
        <v>225</v>
      </c>
      <c r="AJ26" s="3">
        <v>10000000020</v>
      </c>
      <c r="AK26" s="4"/>
    </row>
    <row r="27" spans="1:37" ht="15.6" x14ac:dyDescent="0.3">
      <c r="A27" s="4"/>
      <c r="B27" s="2">
        <v>21</v>
      </c>
      <c r="C27" s="3" t="s">
        <v>61</v>
      </c>
      <c r="D27" s="2" t="s">
        <v>68</v>
      </c>
      <c r="E27" s="2"/>
      <c r="F27" s="3"/>
      <c r="G27" s="3"/>
      <c r="H27" s="3"/>
      <c r="I27" s="87" t="str">
        <f>'Employee Attendance'!$C$6</f>
        <v>January</v>
      </c>
      <c r="J27" s="87">
        <f>'Employee Attendance'!$C$5</f>
        <v>2023</v>
      </c>
      <c r="K27" s="11">
        <f>'Employee Attendance'!AJ28+'Employee Attendance'!AK28</f>
        <v>26</v>
      </c>
      <c r="L27" s="11">
        <f>'Employee Attendance'!AL28</f>
        <v>2</v>
      </c>
      <c r="M27" s="11">
        <f>'Employee Attendance'!AK28</f>
        <v>0</v>
      </c>
      <c r="N27" s="11">
        <f>'Employee Attendance'!AM28</f>
        <v>26</v>
      </c>
      <c r="O27" s="56">
        <v>25000</v>
      </c>
      <c r="P27" s="55">
        <f t="shared" si="0"/>
        <v>15000</v>
      </c>
      <c r="Q27" s="55">
        <f t="shared" si="1"/>
        <v>0</v>
      </c>
      <c r="R27" s="56">
        <v>1600</v>
      </c>
      <c r="S27" s="55">
        <f t="shared" si="2"/>
        <v>1600</v>
      </c>
      <c r="T27" s="56">
        <v>1000</v>
      </c>
      <c r="U27" s="55">
        <f t="shared" si="3"/>
        <v>1000</v>
      </c>
      <c r="V27" s="55">
        <f t="shared" si="4"/>
        <v>7400</v>
      </c>
      <c r="W27" s="55">
        <f t="shared" si="5"/>
        <v>7400.0000000000009</v>
      </c>
      <c r="X27" s="55">
        <f t="shared" si="6"/>
        <v>10000</v>
      </c>
      <c r="Y27" s="55">
        <f t="shared" si="7"/>
        <v>25000</v>
      </c>
      <c r="Z27" s="56">
        <v>200</v>
      </c>
      <c r="AA27" s="97">
        <v>0.1</v>
      </c>
      <c r="AB27" s="55">
        <f t="shared" si="8"/>
        <v>0</v>
      </c>
      <c r="AC27" s="55">
        <f t="shared" si="9"/>
        <v>3000</v>
      </c>
      <c r="AD27" s="56">
        <v>0</v>
      </c>
      <c r="AE27" s="55">
        <f t="shared" si="10"/>
        <v>3200</v>
      </c>
      <c r="AF27" s="56">
        <v>500</v>
      </c>
      <c r="AG27" s="57">
        <f t="shared" si="11"/>
        <v>22300</v>
      </c>
      <c r="AH27" s="12" t="s">
        <v>176</v>
      </c>
      <c r="AI27" s="12" t="s">
        <v>226</v>
      </c>
      <c r="AJ27" s="3">
        <v>10000000021</v>
      </c>
      <c r="AK27" s="4"/>
    </row>
    <row r="28" spans="1:37" ht="15.6" x14ac:dyDescent="0.3">
      <c r="A28" s="4"/>
      <c r="B28" s="2">
        <v>22</v>
      </c>
      <c r="C28" s="3" t="s">
        <v>62</v>
      </c>
      <c r="D28" s="2" t="s">
        <v>69</v>
      </c>
      <c r="E28" s="2"/>
      <c r="F28" s="3"/>
      <c r="G28" s="3"/>
      <c r="H28" s="3"/>
      <c r="I28" s="87" t="str">
        <f>'Employee Attendance'!$C$6</f>
        <v>January</v>
      </c>
      <c r="J28" s="87">
        <f>'Employee Attendance'!$C$5</f>
        <v>2023</v>
      </c>
      <c r="K28" s="11">
        <f>'Employee Attendance'!AJ29+'Employee Attendance'!AK29</f>
        <v>26</v>
      </c>
      <c r="L28" s="11">
        <f>'Employee Attendance'!AL29</f>
        <v>2</v>
      </c>
      <c r="M28" s="11">
        <f>'Employee Attendance'!AK29</f>
        <v>0</v>
      </c>
      <c r="N28" s="11">
        <f>'Employee Attendance'!AM29</f>
        <v>26</v>
      </c>
      <c r="O28" s="56">
        <v>25000</v>
      </c>
      <c r="P28" s="55">
        <f t="shared" si="0"/>
        <v>15000</v>
      </c>
      <c r="Q28" s="55">
        <f t="shared" si="1"/>
        <v>0</v>
      </c>
      <c r="R28" s="56">
        <v>1600</v>
      </c>
      <c r="S28" s="55">
        <f t="shared" si="2"/>
        <v>1600</v>
      </c>
      <c r="T28" s="56">
        <v>800</v>
      </c>
      <c r="U28" s="55">
        <f t="shared" si="3"/>
        <v>800</v>
      </c>
      <c r="V28" s="55">
        <f t="shared" si="4"/>
        <v>7600</v>
      </c>
      <c r="W28" s="55">
        <f t="shared" si="5"/>
        <v>7600</v>
      </c>
      <c r="X28" s="55">
        <f t="shared" si="6"/>
        <v>10000</v>
      </c>
      <c r="Y28" s="55">
        <f t="shared" si="7"/>
        <v>25000</v>
      </c>
      <c r="Z28" s="56">
        <v>200</v>
      </c>
      <c r="AA28" s="97">
        <v>0.1</v>
      </c>
      <c r="AB28" s="55">
        <f t="shared" si="8"/>
        <v>0</v>
      </c>
      <c r="AC28" s="55">
        <f t="shared" si="9"/>
        <v>3000</v>
      </c>
      <c r="AD28" s="56">
        <v>0</v>
      </c>
      <c r="AE28" s="55">
        <f t="shared" si="10"/>
        <v>3200</v>
      </c>
      <c r="AF28" s="56">
        <v>500</v>
      </c>
      <c r="AG28" s="57">
        <f t="shared" si="11"/>
        <v>22300</v>
      </c>
      <c r="AH28" s="12" t="s">
        <v>177</v>
      </c>
      <c r="AI28" s="12" t="s">
        <v>227</v>
      </c>
      <c r="AJ28" s="3">
        <v>10000000022</v>
      </c>
      <c r="AK28" s="4"/>
    </row>
    <row r="29" spans="1:37" ht="15.6" x14ac:dyDescent="0.3">
      <c r="A29" s="4"/>
      <c r="B29" s="2">
        <v>23</v>
      </c>
      <c r="C29" s="3" t="s">
        <v>63</v>
      </c>
      <c r="D29" s="2" t="s">
        <v>70</v>
      </c>
      <c r="E29" s="2"/>
      <c r="F29" s="3"/>
      <c r="G29" s="3"/>
      <c r="H29" s="3"/>
      <c r="I29" s="87" t="str">
        <f>'Employee Attendance'!$C$6</f>
        <v>January</v>
      </c>
      <c r="J29" s="87">
        <f>'Employee Attendance'!$C$5</f>
        <v>2023</v>
      </c>
      <c r="K29" s="11">
        <f>'Employee Attendance'!AJ30+'Employee Attendance'!AK30</f>
        <v>26</v>
      </c>
      <c r="L29" s="11">
        <f>'Employee Attendance'!AL30</f>
        <v>2</v>
      </c>
      <c r="M29" s="11">
        <f>'Employee Attendance'!AK30</f>
        <v>0</v>
      </c>
      <c r="N29" s="11">
        <f>'Employee Attendance'!AM30</f>
        <v>26</v>
      </c>
      <c r="O29" s="56">
        <v>25000</v>
      </c>
      <c r="P29" s="55">
        <f t="shared" si="0"/>
        <v>15000</v>
      </c>
      <c r="Q29" s="55">
        <f t="shared" si="1"/>
        <v>0</v>
      </c>
      <c r="R29" s="56">
        <v>1600</v>
      </c>
      <c r="S29" s="55">
        <f t="shared" si="2"/>
        <v>1600</v>
      </c>
      <c r="T29" s="56">
        <v>1200</v>
      </c>
      <c r="U29" s="55">
        <f t="shared" si="3"/>
        <v>1200</v>
      </c>
      <c r="V29" s="55">
        <f t="shared" si="4"/>
        <v>7200</v>
      </c>
      <c r="W29" s="55">
        <f t="shared" si="5"/>
        <v>7200</v>
      </c>
      <c r="X29" s="55">
        <f t="shared" si="6"/>
        <v>10000</v>
      </c>
      <c r="Y29" s="55">
        <f t="shared" si="7"/>
        <v>25000</v>
      </c>
      <c r="Z29" s="56">
        <v>200</v>
      </c>
      <c r="AA29" s="97">
        <v>0.1</v>
      </c>
      <c r="AB29" s="55">
        <f t="shared" si="8"/>
        <v>0</v>
      </c>
      <c r="AC29" s="55">
        <f t="shared" si="9"/>
        <v>3000</v>
      </c>
      <c r="AD29" s="56">
        <v>0</v>
      </c>
      <c r="AE29" s="55">
        <f t="shared" si="10"/>
        <v>3200</v>
      </c>
      <c r="AF29" s="56">
        <v>500</v>
      </c>
      <c r="AG29" s="57">
        <f t="shared" si="11"/>
        <v>22300</v>
      </c>
      <c r="AH29" s="12" t="s">
        <v>178</v>
      </c>
      <c r="AI29" s="12" t="s">
        <v>228</v>
      </c>
      <c r="AJ29" s="3">
        <v>10000000023</v>
      </c>
      <c r="AK29" s="4"/>
    </row>
    <row r="30" spans="1:37" ht="15.6" x14ac:dyDescent="0.3">
      <c r="A30" s="4"/>
      <c r="B30" s="2">
        <v>24</v>
      </c>
      <c r="C30" s="3" t="s">
        <v>64</v>
      </c>
      <c r="D30" s="2" t="s">
        <v>71</v>
      </c>
      <c r="E30" s="2"/>
      <c r="F30" s="3"/>
      <c r="G30" s="3"/>
      <c r="H30" s="3"/>
      <c r="I30" s="87" t="str">
        <f>'Employee Attendance'!$C$6</f>
        <v>January</v>
      </c>
      <c r="J30" s="87">
        <f>'Employee Attendance'!$C$5</f>
        <v>2023</v>
      </c>
      <c r="K30" s="11">
        <f>'Employee Attendance'!AJ31+'Employee Attendance'!AK31</f>
        <v>26</v>
      </c>
      <c r="L30" s="11">
        <f>'Employee Attendance'!AL31</f>
        <v>2</v>
      </c>
      <c r="M30" s="11">
        <f>'Employee Attendance'!AK31</f>
        <v>0</v>
      </c>
      <c r="N30" s="11">
        <f>'Employee Attendance'!AM31</f>
        <v>26</v>
      </c>
      <c r="O30" s="56">
        <v>25000</v>
      </c>
      <c r="P30" s="55">
        <f t="shared" si="0"/>
        <v>15000</v>
      </c>
      <c r="Q30" s="55">
        <f t="shared" si="1"/>
        <v>0</v>
      </c>
      <c r="R30" s="56">
        <v>1600</v>
      </c>
      <c r="S30" s="55">
        <f t="shared" si="2"/>
        <v>1600</v>
      </c>
      <c r="T30" s="56">
        <v>1250</v>
      </c>
      <c r="U30" s="55">
        <f t="shared" si="3"/>
        <v>1250</v>
      </c>
      <c r="V30" s="55">
        <f t="shared" si="4"/>
        <v>7150</v>
      </c>
      <c r="W30" s="55">
        <f t="shared" si="5"/>
        <v>7150</v>
      </c>
      <c r="X30" s="55">
        <f t="shared" si="6"/>
        <v>10000</v>
      </c>
      <c r="Y30" s="55">
        <f t="shared" si="7"/>
        <v>25000</v>
      </c>
      <c r="Z30" s="56">
        <v>200</v>
      </c>
      <c r="AA30" s="97">
        <v>0.1</v>
      </c>
      <c r="AB30" s="55">
        <f t="shared" si="8"/>
        <v>0</v>
      </c>
      <c r="AC30" s="55">
        <f t="shared" si="9"/>
        <v>3000</v>
      </c>
      <c r="AD30" s="56">
        <v>0</v>
      </c>
      <c r="AE30" s="55">
        <f t="shared" si="10"/>
        <v>3200</v>
      </c>
      <c r="AF30" s="56">
        <v>500</v>
      </c>
      <c r="AG30" s="57">
        <f t="shared" si="11"/>
        <v>22300</v>
      </c>
      <c r="AH30" s="12" t="s">
        <v>179</v>
      </c>
      <c r="AI30" s="12" t="s">
        <v>229</v>
      </c>
      <c r="AJ30" s="3">
        <v>10000000024</v>
      </c>
      <c r="AK30" s="4"/>
    </row>
    <row r="31" spans="1:37" ht="15.6" x14ac:dyDescent="0.3">
      <c r="A31" s="4"/>
      <c r="B31" s="2">
        <v>25</v>
      </c>
      <c r="C31" s="3" t="s">
        <v>65</v>
      </c>
      <c r="D31" s="2" t="s">
        <v>72</v>
      </c>
      <c r="E31" s="2"/>
      <c r="F31" s="3"/>
      <c r="G31" s="3"/>
      <c r="H31" s="3"/>
      <c r="I31" s="87" t="str">
        <f>'Employee Attendance'!$C$6</f>
        <v>January</v>
      </c>
      <c r="J31" s="87">
        <f>'Employee Attendance'!$C$5</f>
        <v>2023</v>
      </c>
      <c r="K31" s="11">
        <f>'Employee Attendance'!AJ32+'Employee Attendance'!AK32</f>
        <v>26</v>
      </c>
      <c r="L31" s="11">
        <f>'Employee Attendance'!AL32</f>
        <v>2</v>
      </c>
      <c r="M31" s="11">
        <f>'Employee Attendance'!AK32</f>
        <v>0</v>
      </c>
      <c r="N31" s="11">
        <f>'Employee Attendance'!AM32</f>
        <v>26</v>
      </c>
      <c r="O31" s="56">
        <v>25000</v>
      </c>
      <c r="P31" s="55">
        <f t="shared" si="0"/>
        <v>15000</v>
      </c>
      <c r="Q31" s="55">
        <f t="shared" si="1"/>
        <v>0</v>
      </c>
      <c r="R31" s="56">
        <v>1600</v>
      </c>
      <c r="S31" s="55">
        <f t="shared" si="2"/>
        <v>1600</v>
      </c>
      <c r="T31" s="56">
        <v>0</v>
      </c>
      <c r="U31" s="55">
        <f t="shared" si="3"/>
        <v>0</v>
      </c>
      <c r="V31" s="55">
        <f t="shared" si="4"/>
        <v>8400</v>
      </c>
      <c r="W31" s="55">
        <f t="shared" si="5"/>
        <v>8400</v>
      </c>
      <c r="X31" s="55">
        <f t="shared" si="6"/>
        <v>10000</v>
      </c>
      <c r="Y31" s="55">
        <f t="shared" si="7"/>
        <v>25000</v>
      </c>
      <c r="Z31" s="56">
        <v>200</v>
      </c>
      <c r="AA31" s="97">
        <v>0.1</v>
      </c>
      <c r="AB31" s="55">
        <f t="shared" si="8"/>
        <v>0</v>
      </c>
      <c r="AC31" s="55">
        <f t="shared" si="9"/>
        <v>3000</v>
      </c>
      <c r="AD31" s="56">
        <v>0</v>
      </c>
      <c r="AE31" s="55">
        <f t="shared" si="10"/>
        <v>3200</v>
      </c>
      <c r="AF31" s="56">
        <v>500</v>
      </c>
      <c r="AG31" s="57">
        <f>IF(N31="",0,(Y31-AE31+AF31))</f>
        <v>22300</v>
      </c>
      <c r="AH31" s="12" t="s">
        <v>180</v>
      </c>
      <c r="AI31" s="12" t="s">
        <v>230</v>
      </c>
      <c r="AJ31" s="3">
        <v>10000000025</v>
      </c>
      <c r="AK31" s="4"/>
    </row>
    <row r="32" spans="1:37" ht="15.6" x14ac:dyDescent="0.3">
      <c r="A32" s="4"/>
      <c r="B32" s="2">
        <v>26</v>
      </c>
      <c r="C32" s="3" t="s">
        <v>74</v>
      </c>
      <c r="D32" s="2" t="s">
        <v>73</v>
      </c>
      <c r="E32" s="2"/>
      <c r="F32" s="3"/>
      <c r="G32" s="3"/>
      <c r="H32" s="3"/>
      <c r="I32" s="87" t="str">
        <f>'Employee Attendance'!$C$6</f>
        <v>January</v>
      </c>
      <c r="J32" s="87">
        <f>'Employee Attendance'!$C$5</f>
        <v>2023</v>
      </c>
      <c r="K32" s="11">
        <f>'Employee Attendance'!AJ33+'Employee Attendance'!AK33</f>
        <v>26</v>
      </c>
      <c r="L32" s="11">
        <f>'Employee Attendance'!AL33</f>
        <v>2</v>
      </c>
      <c r="M32" s="11">
        <f>'Employee Attendance'!AK33</f>
        <v>0</v>
      </c>
      <c r="N32" s="11">
        <f>'Employee Attendance'!AM33</f>
        <v>26</v>
      </c>
      <c r="O32" s="56">
        <v>25000</v>
      </c>
      <c r="P32" s="55">
        <f t="shared" si="0"/>
        <v>15000</v>
      </c>
      <c r="Q32" s="55">
        <f t="shared" si="1"/>
        <v>0</v>
      </c>
      <c r="R32" s="56">
        <v>1600</v>
      </c>
      <c r="S32" s="55">
        <f t="shared" si="2"/>
        <v>1600</v>
      </c>
      <c r="T32" s="56">
        <v>0</v>
      </c>
      <c r="U32" s="55">
        <f t="shared" si="3"/>
        <v>0</v>
      </c>
      <c r="V32" s="55">
        <f t="shared" si="4"/>
        <v>8400</v>
      </c>
      <c r="W32" s="55">
        <f t="shared" si="5"/>
        <v>8400</v>
      </c>
      <c r="X32" s="55">
        <f t="shared" si="6"/>
        <v>10000</v>
      </c>
      <c r="Y32" s="55">
        <f t="shared" si="7"/>
        <v>25000</v>
      </c>
      <c r="Z32" s="56">
        <v>200</v>
      </c>
      <c r="AA32" s="97">
        <v>0.1</v>
      </c>
      <c r="AB32" s="55">
        <f t="shared" si="8"/>
        <v>0</v>
      </c>
      <c r="AC32" s="55">
        <f t="shared" si="9"/>
        <v>3000</v>
      </c>
      <c r="AD32" s="56">
        <v>0</v>
      </c>
      <c r="AE32" s="55">
        <f t="shared" si="10"/>
        <v>3200</v>
      </c>
      <c r="AF32" s="56">
        <v>500</v>
      </c>
      <c r="AG32" s="57">
        <f t="shared" si="11"/>
        <v>22300</v>
      </c>
      <c r="AH32" s="12" t="s">
        <v>181</v>
      </c>
      <c r="AI32" s="12" t="s">
        <v>231</v>
      </c>
      <c r="AJ32" s="3">
        <v>10000000026</v>
      </c>
      <c r="AK32" s="4"/>
    </row>
    <row r="33" spans="1:37" ht="15.6" x14ac:dyDescent="0.3">
      <c r="A33" s="4"/>
      <c r="B33" s="2">
        <v>27</v>
      </c>
      <c r="C33" s="3" t="s">
        <v>122</v>
      </c>
      <c r="D33" s="2" t="s">
        <v>99</v>
      </c>
      <c r="E33" s="2"/>
      <c r="F33" s="3"/>
      <c r="G33" s="3"/>
      <c r="H33" s="3"/>
      <c r="I33" s="87" t="str">
        <f>'Employee Attendance'!$C$6</f>
        <v>January</v>
      </c>
      <c r="J33" s="87">
        <f>'Employee Attendance'!$C$5</f>
        <v>2023</v>
      </c>
      <c r="K33" s="11">
        <f>'Employee Attendance'!AJ34+'Employee Attendance'!AK34</f>
        <v>26</v>
      </c>
      <c r="L33" s="11">
        <f>'Employee Attendance'!AL34</f>
        <v>2</v>
      </c>
      <c r="M33" s="11">
        <f>'Employee Attendance'!AK34</f>
        <v>0</v>
      </c>
      <c r="N33" s="11">
        <f>'Employee Attendance'!AM34</f>
        <v>26</v>
      </c>
      <c r="O33" s="56"/>
      <c r="P33" s="55">
        <f t="shared" si="0"/>
        <v>0</v>
      </c>
      <c r="Q33" s="55">
        <f t="shared" si="1"/>
        <v>0</v>
      </c>
      <c r="R33" s="56">
        <v>0</v>
      </c>
      <c r="S33" s="55">
        <f t="shared" si="2"/>
        <v>0</v>
      </c>
      <c r="T33" s="56">
        <v>0</v>
      </c>
      <c r="U33" s="55">
        <f t="shared" si="3"/>
        <v>0</v>
      </c>
      <c r="V33" s="55">
        <f t="shared" si="4"/>
        <v>0</v>
      </c>
      <c r="W33" s="55">
        <f t="shared" si="5"/>
        <v>0</v>
      </c>
      <c r="X33" s="55">
        <f t="shared" si="6"/>
        <v>0</v>
      </c>
      <c r="Y33" s="55">
        <f t="shared" si="7"/>
        <v>0</v>
      </c>
      <c r="Z33" s="56">
        <v>0</v>
      </c>
      <c r="AA33" s="97">
        <v>0.1</v>
      </c>
      <c r="AB33" s="55">
        <f t="shared" si="8"/>
        <v>0</v>
      </c>
      <c r="AC33" s="55">
        <f t="shared" si="9"/>
        <v>0</v>
      </c>
      <c r="AD33" s="56">
        <v>0</v>
      </c>
      <c r="AE33" s="55">
        <f t="shared" si="10"/>
        <v>0</v>
      </c>
      <c r="AF33" s="56">
        <v>0</v>
      </c>
      <c r="AG33" s="57">
        <f t="shared" si="11"/>
        <v>0</v>
      </c>
      <c r="AH33" s="12" t="s">
        <v>182</v>
      </c>
      <c r="AI33" s="12" t="s">
        <v>232</v>
      </c>
      <c r="AJ33" s="3">
        <v>10000000027</v>
      </c>
      <c r="AK33" s="4"/>
    </row>
    <row r="34" spans="1:37" ht="15.6" x14ac:dyDescent="0.3">
      <c r="A34" s="4"/>
      <c r="B34" s="2">
        <v>28</v>
      </c>
      <c r="C34" s="3" t="s">
        <v>123</v>
      </c>
      <c r="D34" s="2" t="s">
        <v>98</v>
      </c>
      <c r="E34" s="2"/>
      <c r="F34" s="3"/>
      <c r="G34" s="3"/>
      <c r="H34" s="3"/>
      <c r="I34" s="87" t="str">
        <f>'Employee Attendance'!$C$6</f>
        <v>January</v>
      </c>
      <c r="J34" s="87">
        <f>'Employee Attendance'!$C$5</f>
        <v>2023</v>
      </c>
      <c r="K34" s="11">
        <f>'Employee Attendance'!AJ35+'Employee Attendance'!AK35</f>
        <v>26</v>
      </c>
      <c r="L34" s="11">
        <f>'Employee Attendance'!AL35</f>
        <v>2</v>
      </c>
      <c r="M34" s="11">
        <f>'Employee Attendance'!AK35</f>
        <v>0</v>
      </c>
      <c r="N34" s="11">
        <f>'Employee Attendance'!AM35</f>
        <v>26</v>
      </c>
      <c r="O34" s="56"/>
      <c r="P34" s="55">
        <f t="shared" si="0"/>
        <v>0</v>
      </c>
      <c r="Q34" s="55">
        <f t="shared" si="1"/>
        <v>0</v>
      </c>
      <c r="R34" s="56">
        <v>0</v>
      </c>
      <c r="S34" s="55">
        <f t="shared" si="2"/>
        <v>0</v>
      </c>
      <c r="T34" s="56">
        <v>0</v>
      </c>
      <c r="U34" s="55">
        <f t="shared" si="3"/>
        <v>0</v>
      </c>
      <c r="V34" s="55">
        <f t="shared" si="4"/>
        <v>0</v>
      </c>
      <c r="W34" s="55">
        <f t="shared" si="5"/>
        <v>0</v>
      </c>
      <c r="X34" s="55">
        <f t="shared" si="6"/>
        <v>0</v>
      </c>
      <c r="Y34" s="55">
        <f t="shared" si="7"/>
        <v>0</v>
      </c>
      <c r="Z34" s="56">
        <v>0</v>
      </c>
      <c r="AA34" s="97">
        <v>0.1</v>
      </c>
      <c r="AB34" s="55">
        <f t="shared" si="8"/>
        <v>0</v>
      </c>
      <c r="AC34" s="55">
        <f t="shared" si="9"/>
        <v>0</v>
      </c>
      <c r="AD34" s="56">
        <v>0</v>
      </c>
      <c r="AE34" s="55">
        <f t="shared" si="10"/>
        <v>0</v>
      </c>
      <c r="AF34" s="56">
        <v>0</v>
      </c>
      <c r="AG34" s="57">
        <f t="shared" si="11"/>
        <v>0</v>
      </c>
      <c r="AH34" s="12" t="s">
        <v>183</v>
      </c>
      <c r="AI34" s="12" t="s">
        <v>233</v>
      </c>
      <c r="AJ34" s="3">
        <v>10000000028</v>
      </c>
      <c r="AK34" s="4"/>
    </row>
    <row r="35" spans="1:37" ht="15.6" x14ac:dyDescent="0.3">
      <c r="A35" s="4"/>
      <c r="B35" s="2">
        <v>29</v>
      </c>
      <c r="C35" s="3" t="s">
        <v>124</v>
      </c>
      <c r="D35" s="2" t="s">
        <v>100</v>
      </c>
      <c r="E35" s="2"/>
      <c r="F35" s="3"/>
      <c r="G35" s="3"/>
      <c r="H35" s="3"/>
      <c r="I35" s="87" t="str">
        <f>'Employee Attendance'!$C$6</f>
        <v>January</v>
      </c>
      <c r="J35" s="87">
        <f>'Employee Attendance'!$C$5</f>
        <v>2023</v>
      </c>
      <c r="K35" s="11">
        <f>'Employee Attendance'!AJ36+'Employee Attendance'!AK36</f>
        <v>26</v>
      </c>
      <c r="L35" s="11">
        <f>'Employee Attendance'!AL36</f>
        <v>2</v>
      </c>
      <c r="M35" s="11">
        <f>'Employee Attendance'!AK36</f>
        <v>0</v>
      </c>
      <c r="N35" s="11">
        <f>'Employee Attendance'!AM36</f>
        <v>26</v>
      </c>
      <c r="O35" s="56"/>
      <c r="P35" s="55">
        <f t="shared" si="0"/>
        <v>0</v>
      </c>
      <c r="Q35" s="55">
        <f t="shared" si="1"/>
        <v>0</v>
      </c>
      <c r="R35" s="56">
        <v>0</v>
      </c>
      <c r="S35" s="55">
        <f t="shared" si="2"/>
        <v>0</v>
      </c>
      <c r="T35" s="56">
        <v>0</v>
      </c>
      <c r="U35" s="55">
        <f t="shared" si="3"/>
        <v>0</v>
      </c>
      <c r="V35" s="55">
        <f t="shared" si="4"/>
        <v>0</v>
      </c>
      <c r="W35" s="55">
        <f t="shared" si="5"/>
        <v>0</v>
      </c>
      <c r="X35" s="55">
        <f t="shared" si="6"/>
        <v>0</v>
      </c>
      <c r="Y35" s="55">
        <f t="shared" si="7"/>
        <v>0</v>
      </c>
      <c r="Z35" s="56">
        <v>0</v>
      </c>
      <c r="AA35" s="97">
        <v>0.1</v>
      </c>
      <c r="AB35" s="55">
        <f t="shared" si="8"/>
        <v>0</v>
      </c>
      <c r="AC35" s="55">
        <f t="shared" si="9"/>
        <v>0</v>
      </c>
      <c r="AD35" s="56">
        <v>0</v>
      </c>
      <c r="AE35" s="55">
        <f t="shared" si="10"/>
        <v>0</v>
      </c>
      <c r="AF35" s="56">
        <v>0</v>
      </c>
      <c r="AG35" s="57">
        <f t="shared" si="11"/>
        <v>0</v>
      </c>
      <c r="AH35" s="12" t="s">
        <v>184</v>
      </c>
      <c r="AI35" s="12" t="s">
        <v>234</v>
      </c>
      <c r="AJ35" s="3">
        <v>10000000029</v>
      </c>
      <c r="AK35" s="4"/>
    </row>
    <row r="36" spans="1:37" ht="15.6" x14ac:dyDescent="0.3">
      <c r="A36" s="4"/>
      <c r="B36" s="2">
        <v>30</v>
      </c>
      <c r="C36" s="3" t="s">
        <v>125</v>
      </c>
      <c r="D36" s="2" t="s">
        <v>101</v>
      </c>
      <c r="E36" s="2"/>
      <c r="F36" s="3"/>
      <c r="G36" s="3"/>
      <c r="H36" s="3"/>
      <c r="I36" s="87" t="str">
        <f>'Employee Attendance'!$C$6</f>
        <v>January</v>
      </c>
      <c r="J36" s="87">
        <f>'Employee Attendance'!$C$5</f>
        <v>2023</v>
      </c>
      <c r="K36" s="11">
        <f>'Employee Attendance'!AJ37+'Employee Attendance'!AK37</f>
        <v>26</v>
      </c>
      <c r="L36" s="11">
        <f>'Employee Attendance'!AL37</f>
        <v>2</v>
      </c>
      <c r="M36" s="11">
        <f>'Employee Attendance'!AK37</f>
        <v>0</v>
      </c>
      <c r="N36" s="11">
        <f>'Employee Attendance'!AM37</f>
        <v>26</v>
      </c>
      <c r="O36" s="56"/>
      <c r="P36" s="55">
        <f t="shared" si="0"/>
        <v>0</v>
      </c>
      <c r="Q36" s="55">
        <f t="shared" si="1"/>
        <v>0</v>
      </c>
      <c r="R36" s="56">
        <v>0</v>
      </c>
      <c r="S36" s="55">
        <f t="shared" si="2"/>
        <v>0</v>
      </c>
      <c r="T36" s="56">
        <v>0</v>
      </c>
      <c r="U36" s="55">
        <f t="shared" si="3"/>
        <v>0</v>
      </c>
      <c r="V36" s="55">
        <f t="shared" si="4"/>
        <v>0</v>
      </c>
      <c r="W36" s="55">
        <f t="shared" si="5"/>
        <v>0</v>
      </c>
      <c r="X36" s="55">
        <f t="shared" si="6"/>
        <v>0</v>
      </c>
      <c r="Y36" s="55">
        <f t="shared" si="7"/>
        <v>0</v>
      </c>
      <c r="Z36" s="56">
        <v>0</v>
      </c>
      <c r="AA36" s="97">
        <v>0.1</v>
      </c>
      <c r="AB36" s="55">
        <f t="shared" si="8"/>
        <v>0</v>
      </c>
      <c r="AC36" s="55">
        <f t="shared" si="9"/>
        <v>0</v>
      </c>
      <c r="AD36" s="56">
        <v>0</v>
      </c>
      <c r="AE36" s="55">
        <f t="shared" si="10"/>
        <v>0</v>
      </c>
      <c r="AF36" s="56">
        <v>0</v>
      </c>
      <c r="AG36" s="57">
        <f t="shared" si="11"/>
        <v>0</v>
      </c>
      <c r="AH36" s="12" t="s">
        <v>185</v>
      </c>
      <c r="AI36" s="12" t="s">
        <v>235</v>
      </c>
      <c r="AJ36" s="3">
        <v>10000000030</v>
      </c>
      <c r="AK36" s="4"/>
    </row>
    <row r="37" spans="1:37" ht="15.6" x14ac:dyDescent="0.3">
      <c r="A37" s="4"/>
      <c r="B37" s="2">
        <v>31</v>
      </c>
      <c r="C37" s="3" t="s">
        <v>126</v>
      </c>
      <c r="D37" s="2" t="s">
        <v>102</v>
      </c>
      <c r="E37" s="2"/>
      <c r="F37" s="3"/>
      <c r="G37" s="3"/>
      <c r="H37" s="3"/>
      <c r="I37" s="87" t="str">
        <f>'Employee Attendance'!$C$6</f>
        <v>January</v>
      </c>
      <c r="J37" s="87">
        <f>'Employee Attendance'!$C$5</f>
        <v>2023</v>
      </c>
      <c r="K37" s="11">
        <f>'Employee Attendance'!AJ38+'Employee Attendance'!AK38</f>
        <v>26</v>
      </c>
      <c r="L37" s="11">
        <f>'Employee Attendance'!AL38</f>
        <v>2</v>
      </c>
      <c r="M37" s="11">
        <f>'Employee Attendance'!AK38</f>
        <v>0</v>
      </c>
      <c r="N37" s="11">
        <f>'Employee Attendance'!AM38</f>
        <v>26</v>
      </c>
      <c r="O37" s="56"/>
      <c r="P37" s="55">
        <f t="shared" si="0"/>
        <v>0</v>
      </c>
      <c r="Q37" s="55">
        <f t="shared" si="1"/>
        <v>0</v>
      </c>
      <c r="R37" s="56">
        <v>0</v>
      </c>
      <c r="S37" s="55">
        <f t="shared" si="2"/>
        <v>0</v>
      </c>
      <c r="T37" s="56">
        <v>0</v>
      </c>
      <c r="U37" s="55">
        <f t="shared" si="3"/>
        <v>0</v>
      </c>
      <c r="V37" s="55">
        <f t="shared" si="4"/>
        <v>0</v>
      </c>
      <c r="W37" s="55">
        <f t="shared" si="5"/>
        <v>0</v>
      </c>
      <c r="X37" s="55">
        <f t="shared" si="6"/>
        <v>0</v>
      </c>
      <c r="Y37" s="55">
        <f t="shared" si="7"/>
        <v>0</v>
      </c>
      <c r="Z37" s="56">
        <v>0</v>
      </c>
      <c r="AA37" s="97">
        <v>0.1</v>
      </c>
      <c r="AB37" s="55">
        <f t="shared" si="8"/>
        <v>0</v>
      </c>
      <c r="AC37" s="55">
        <f t="shared" si="9"/>
        <v>0</v>
      </c>
      <c r="AD37" s="56">
        <v>0</v>
      </c>
      <c r="AE37" s="55">
        <f t="shared" si="10"/>
        <v>0</v>
      </c>
      <c r="AF37" s="56">
        <v>0</v>
      </c>
      <c r="AG37" s="57">
        <f t="shared" si="11"/>
        <v>0</v>
      </c>
      <c r="AH37" s="12" t="s">
        <v>186</v>
      </c>
      <c r="AI37" s="12" t="s">
        <v>236</v>
      </c>
      <c r="AJ37" s="3">
        <v>10000000031</v>
      </c>
      <c r="AK37" s="4"/>
    </row>
    <row r="38" spans="1:37" ht="15.6" x14ac:dyDescent="0.3">
      <c r="A38" s="4"/>
      <c r="B38" s="2">
        <v>32</v>
      </c>
      <c r="C38" s="3" t="s">
        <v>127</v>
      </c>
      <c r="D38" s="2" t="s">
        <v>103</v>
      </c>
      <c r="E38" s="2"/>
      <c r="F38" s="3"/>
      <c r="G38" s="3"/>
      <c r="H38" s="3"/>
      <c r="I38" s="87" t="str">
        <f>'Employee Attendance'!$C$6</f>
        <v>January</v>
      </c>
      <c r="J38" s="87">
        <f>'Employee Attendance'!$C$5</f>
        <v>2023</v>
      </c>
      <c r="K38" s="11">
        <f>'Employee Attendance'!AJ39+'Employee Attendance'!AK39</f>
        <v>26</v>
      </c>
      <c r="L38" s="11">
        <f>'Employee Attendance'!AL39</f>
        <v>2</v>
      </c>
      <c r="M38" s="11">
        <f>'Employee Attendance'!AK39</f>
        <v>0</v>
      </c>
      <c r="N38" s="11">
        <f>'Employee Attendance'!AM39</f>
        <v>26</v>
      </c>
      <c r="O38" s="56"/>
      <c r="P38" s="55">
        <f t="shared" si="0"/>
        <v>0</v>
      </c>
      <c r="Q38" s="55">
        <f t="shared" si="1"/>
        <v>0</v>
      </c>
      <c r="R38" s="56">
        <v>0</v>
      </c>
      <c r="S38" s="55">
        <f t="shared" si="2"/>
        <v>0</v>
      </c>
      <c r="T38" s="56">
        <v>0</v>
      </c>
      <c r="U38" s="55">
        <f t="shared" si="3"/>
        <v>0</v>
      </c>
      <c r="V38" s="55">
        <f t="shared" si="4"/>
        <v>0</v>
      </c>
      <c r="W38" s="55">
        <f t="shared" si="5"/>
        <v>0</v>
      </c>
      <c r="X38" s="55">
        <f t="shared" si="6"/>
        <v>0</v>
      </c>
      <c r="Y38" s="55">
        <f t="shared" si="7"/>
        <v>0</v>
      </c>
      <c r="Z38" s="56">
        <v>0</v>
      </c>
      <c r="AA38" s="97">
        <v>0.1</v>
      </c>
      <c r="AB38" s="55">
        <f t="shared" si="8"/>
        <v>0</v>
      </c>
      <c r="AC38" s="55">
        <f t="shared" si="9"/>
        <v>0</v>
      </c>
      <c r="AD38" s="56">
        <v>0</v>
      </c>
      <c r="AE38" s="55">
        <f t="shared" si="10"/>
        <v>0</v>
      </c>
      <c r="AF38" s="56">
        <v>0</v>
      </c>
      <c r="AG38" s="57">
        <f t="shared" si="11"/>
        <v>0</v>
      </c>
      <c r="AH38" s="12" t="s">
        <v>187</v>
      </c>
      <c r="AI38" s="12" t="s">
        <v>237</v>
      </c>
      <c r="AJ38" s="3">
        <v>10000000032</v>
      </c>
      <c r="AK38" s="4"/>
    </row>
    <row r="39" spans="1:37" ht="15.6" x14ac:dyDescent="0.3">
      <c r="A39" s="4"/>
      <c r="B39" s="2">
        <v>33</v>
      </c>
      <c r="C39" s="3" t="s">
        <v>128</v>
      </c>
      <c r="D39" s="2" t="s">
        <v>104</v>
      </c>
      <c r="E39" s="2"/>
      <c r="F39" s="3"/>
      <c r="G39" s="3"/>
      <c r="H39" s="3"/>
      <c r="I39" s="87" t="str">
        <f>'Employee Attendance'!$C$6</f>
        <v>January</v>
      </c>
      <c r="J39" s="87">
        <f>'Employee Attendance'!$C$5</f>
        <v>2023</v>
      </c>
      <c r="K39" s="11">
        <f>'Employee Attendance'!AJ40+'Employee Attendance'!AK40</f>
        <v>26</v>
      </c>
      <c r="L39" s="11">
        <f>'Employee Attendance'!AL40</f>
        <v>2</v>
      </c>
      <c r="M39" s="11">
        <f>'Employee Attendance'!AK40</f>
        <v>0</v>
      </c>
      <c r="N39" s="11">
        <f>'Employee Attendance'!AM40</f>
        <v>26</v>
      </c>
      <c r="O39" s="56"/>
      <c r="P39" s="55">
        <f t="shared" si="0"/>
        <v>0</v>
      </c>
      <c r="Q39" s="55">
        <f t="shared" si="1"/>
        <v>0</v>
      </c>
      <c r="R39" s="56">
        <v>0</v>
      </c>
      <c r="S39" s="55">
        <f t="shared" si="2"/>
        <v>0</v>
      </c>
      <c r="T39" s="56">
        <v>0</v>
      </c>
      <c r="U39" s="55">
        <f t="shared" si="3"/>
        <v>0</v>
      </c>
      <c r="V39" s="55">
        <f t="shared" si="4"/>
        <v>0</v>
      </c>
      <c r="W39" s="55">
        <f t="shared" si="5"/>
        <v>0</v>
      </c>
      <c r="X39" s="55">
        <f t="shared" si="6"/>
        <v>0</v>
      </c>
      <c r="Y39" s="55">
        <f t="shared" si="7"/>
        <v>0</v>
      </c>
      <c r="Z39" s="56">
        <v>0</v>
      </c>
      <c r="AA39" s="97">
        <v>0.1</v>
      </c>
      <c r="AB39" s="55">
        <f t="shared" si="8"/>
        <v>0</v>
      </c>
      <c r="AC39" s="55">
        <f t="shared" si="9"/>
        <v>0</v>
      </c>
      <c r="AD39" s="56">
        <v>0</v>
      </c>
      <c r="AE39" s="55">
        <f t="shared" si="10"/>
        <v>0</v>
      </c>
      <c r="AF39" s="56">
        <v>0</v>
      </c>
      <c r="AG39" s="57">
        <f t="shared" si="11"/>
        <v>0</v>
      </c>
      <c r="AH39" s="12" t="s">
        <v>188</v>
      </c>
      <c r="AI39" s="12" t="s">
        <v>238</v>
      </c>
      <c r="AJ39" s="3">
        <v>10000000033</v>
      </c>
      <c r="AK39" s="4"/>
    </row>
    <row r="40" spans="1:37" ht="15.6" x14ac:dyDescent="0.3">
      <c r="A40" s="4"/>
      <c r="B40" s="2">
        <v>34</v>
      </c>
      <c r="C40" s="3" t="s">
        <v>129</v>
      </c>
      <c r="D40" s="2" t="s">
        <v>105</v>
      </c>
      <c r="E40" s="2"/>
      <c r="F40" s="3"/>
      <c r="G40" s="3"/>
      <c r="H40" s="3"/>
      <c r="I40" s="87" t="str">
        <f>'Employee Attendance'!$C$6</f>
        <v>January</v>
      </c>
      <c r="J40" s="87">
        <f>'Employee Attendance'!$C$5</f>
        <v>2023</v>
      </c>
      <c r="K40" s="11">
        <f>'Employee Attendance'!AJ41+'Employee Attendance'!AK41</f>
        <v>26</v>
      </c>
      <c r="L40" s="11">
        <f>'Employee Attendance'!AL41</f>
        <v>2</v>
      </c>
      <c r="M40" s="11">
        <f>'Employee Attendance'!AK41</f>
        <v>0</v>
      </c>
      <c r="N40" s="11">
        <f>'Employee Attendance'!AM41</f>
        <v>26</v>
      </c>
      <c r="O40" s="56"/>
      <c r="P40" s="55">
        <f t="shared" si="0"/>
        <v>0</v>
      </c>
      <c r="Q40" s="55">
        <f t="shared" si="1"/>
        <v>0</v>
      </c>
      <c r="R40" s="56">
        <v>0</v>
      </c>
      <c r="S40" s="55">
        <f t="shared" si="2"/>
        <v>0</v>
      </c>
      <c r="T40" s="56">
        <v>0</v>
      </c>
      <c r="U40" s="55">
        <f t="shared" si="3"/>
        <v>0</v>
      </c>
      <c r="V40" s="55">
        <f t="shared" si="4"/>
        <v>0</v>
      </c>
      <c r="W40" s="55">
        <f t="shared" si="5"/>
        <v>0</v>
      </c>
      <c r="X40" s="55">
        <f t="shared" si="6"/>
        <v>0</v>
      </c>
      <c r="Y40" s="55">
        <f t="shared" si="7"/>
        <v>0</v>
      </c>
      <c r="Z40" s="56">
        <v>0</v>
      </c>
      <c r="AA40" s="97">
        <v>0.1</v>
      </c>
      <c r="AB40" s="55">
        <f t="shared" si="8"/>
        <v>0</v>
      </c>
      <c r="AC40" s="55">
        <f t="shared" si="9"/>
        <v>0</v>
      </c>
      <c r="AD40" s="56">
        <v>0</v>
      </c>
      <c r="AE40" s="55">
        <f t="shared" si="10"/>
        <v>0</v>
      </c>
      <c r="AF40" s="56">
        <v>0</v>
      </c>
      <c r="AG40" s="57">
        <f t="shared" si="11"/>
        <v>0</v>
      </c>
      <c r="AH40" s="12" t="s">
        <v>189</v>
      </c>
      <c r="AI40" s="12" t="s">
        <v>239</v>
      </c>
      <c r="AJ40" s="3">
        <v>10000000034</v>
      </c>
      <c r="AK40" s="4"/>
    </row>
    <row r="41" spans="1:37" ht="15.6" x14ac:dyDescent="0.3">
      <c r="A41" s="4"/>
      <c r="B41" s="2">
        <v>35</v>
      </c>
      <c r="C41" s="3" t="s">
        <v>130</v>
      </c>
      <c r="D41" s="2" t="s">
        <v>106</v>
      </c>
      <c r="E41" s="2"/>
      <c r="F41" s="3"/>
      <c r="G41" s="3"/>
      <c r="H41" s="3"/>
      <c r="I41" s="87" t="str">
        <f>'Employee Attendance'!$C$6</f>
        <v>January</v>
      </c>
      <c r="J41" s="87">
        <f>'Employee Attendance'!$C$5</f>
        <v>2023</v>
      </c>
      <c r="K41" s="11">
        <f>'Employee Attendance'!AJ42+'Employee Attendance'!AK42</f>
        <v>26</v>
      </c>
      <c r="L41" s="11">
        <f>'Employee Attendance'!AL42</f>
        <v>2</v>
      </c>
      <c r="M41" s="11">
        <f>'Employee Attendance'!AK42</f>
        <v>0</v>
      </c>
      <c r="N41" s="11">
        <f>'Employee Attendance'!AM42</f>
        <v>26</v>
      </c>
      <c r="O41" s="56"/>
      <c r="P41" s="55">
        <f t="shared" si="0"/>
        <v>0</v>
      </c>
      <c r="Q41" s="55">
        <f t="shared" si="1"/>
        <v>0</v>
      </c>
      <c r="R41" s="56">
        <v>0</v>
      </c>
      <c r="S41" s="55">
        <f t="shared" si="2"/>
        <v>0</v>
      </c>
      <c r="T41" s="56">
        <v>0</v>
      </c>
      <c r="U41" s="55">
        <f t="shared" si="3"/>
        <v>0</v>
      </c>
      <c r="V41" s="55">
        <f t="shared" si="4"/>
        <v>0</v>
      </c>
      <c r="W41" s="55">
        <f t="shared" si="5"/>
        <v>0</v>
      </c>
      <c r="X41" s="55">
        <f t="shared" si="6"/>
        <v>0</v>
      </c>
      <c r="Y41" s="55">
        <f t="shared" si="7"/>
        <v>0</v>
      </c>
      <c r="Z41" s="56">
        <v>0</v>
      </c>
      <c r="AA41" s="97">
        <v>0.1</v>
      </c>
      <c r="AB41" s="55">
        <f t="shared" si="8"/>
        <v>0</v>
      </c>
      <c r="AC41" s="55">
        <f t="shared" si="9"/>
        <v>0</v>
      </c>
      <c r="AD41" s="56">
        <v>0</v>
      </c>
      <c r="AE41" s="55">
        <f t="shared" si="10"/>
        <v>0</v>
      </c>
      <c r="AF41" s="56">
        <v>0</v>
      </c>
      <c r="AG41" s="57">
        <f t="shared" si="11"/>
        <v>0</v>
      </c>
      <c r="AH41" s="12" t="s">
        <v>190</v>
      </c>
      <c r="AI41" s="12" t="s">
        <v>240</v>
      </c>
      <c r="AJ41" s="3">
        <v>10000000035</v>
      </c>
      <c r="AK41" s="4"/>
    </row>
    <row r="42" spans="1:37" ht="15.6" x14ac:dyDescent="0.3">
      <c r="A42" s="4"/>
      <c r="B42" s="2">
        <v>36</v>
      </c>
      <c r="C42" s="3" t="s">
        <v>131</v>
      </c>
      <c r="D42" s="2" t="s">
        <v>107</v>
      </c>
      <c r="E42" s="2"/>
      <c r="F42" s="3"/>
      <c r="G42" s="3"/>
      <c r="H42" s="3"/>
      <c r="I42" s="87" t="str">
        <f>'Employee Attendance'!$C$6</f>
        <v>January</v>
      </c>
      <c r="J42" s="87">
        <f>'Employee Attendance'!$C$5</f>
        <v>2023</v>
      </c>
      <c r="K42" s="11">
        <f>'Employee Attendance'!AJ43+'Employee Attendance'!AK43</f>
        <v>26</v>
      </c>
      <c r="L42" s="11">
        <f>'Employee Attendance'!AL43</f>
        <v>2</v>
      </c>
      <c r="M42" s="11">
        <f>'Employee Attendance'!AK43</f>
        <v>0</v>
      </c>
      <c r="N42" s="11">
        <f>'Employee Attendance'!AM43</f>
        <v>26</v>
      </c>
      <c r="O42" s="56"/>
      <c r="P42" s="55">
        <f t="shared" si="0"/>
        <v>0</v>
      </c>
      <c r="Q42" s="55">
        <f t="shared" si="1"/>
        <v>0</v>
      </c>
      <c r="R42" s="56">
        <v>0</v>
      </c>
      <c r="S42" s="55">
        <f t="shared" si="2"/>
        <v>0</v>
      </c>
      <c r="T42" s="56">
        <v>0</v>
      </c>
      <c r="U42" s="55">
        <f t="shared" si="3"/>
        <v>0</v>
      </c>
      <c r="V42" s="55">
        <f t="shared" si="4"/>
        <v>0</v>
      </c>
      <c r="W42" s="55">
        <f t="shared" si="5"/>
        <v>0</v>
      </c>
      <c r="X42" s="55">
        <f t="shared" si="6"/>
        <v>0</v>
      </c>
      <c r="Y42" s="55">
        <f t="shared" si="7"/>
        <v>0</v>
      </c>
      <c r="Z42" s="56">
        <v>0</v>
      </c>
      <c r="AA42" s="97">
        <v>0.1</v>
      </c>
      <c r="AB42" s="55">
        <f t="shared" si="8"/>
        <v>0</v>
      </c>
      <c r="AC42" s="55">
        <f t="shared" si="9"/>
        <v>0</v>
      </c>
      <c r="AD42" s="56">
        <v>0</v>
      </c>
      <c r="AE42" s="55">
        <f t="shared" si="10"/>
        <v>0</v>
      </c>
      <c r="AF42" s="56">
        <v>0</v>
      </c>
      <c r="AG42" s="57">
        <f t="shared" si="11"/>
        <v>0</v>
      </c>
      <c r="AH42" s="12" t="s">
        <v>191</v>
      </c>
      <c r="AI42" s="12" t="s">
        <v>241</v>
      </c>
      <c r="AJ42" s="3">
        <v>10000000036</v>
      </c>
      <c r="AK42" s="4"/>
    </row>
    <row r="43" spans="1:37" ht="15.6" x14ac:dyDescent="0.3">
      <c r="A43" s="4"/>
      <c r="B43" s="2">
        <v>37</v>
      </c>
      <c r="C43" s="3" t="s">
        <v>132</v>
      </c>
      <c r="D43" s="2" t="s">
        <v>108</v>
      </c>
      <c r="E43" s="2"/>
      <c r="F43" s="3"/>
      <c r="G43" s="3"/>
      <c r="H43" s="3"/>
      <c r="I43" s="87" t="str">
        <f>'Employee Attendance'!$C$6</f>
        <v>January</v>
      </c>
      <c r="J43" s="87">
        <f>'Employee Attendance'!$C$5</f>
        <v>2023</v>
      </c>
      <c r="K43" s="11">
        <f>'Employee Attendance'!AJ44+'Employee Attendance'!AK44</f>
        <v>26</v>
      </c>
      <c r="L43" s="11">
        <f>'Employee Attendance'!AL44</f>
        <v>2</v>
      </c>
      <c r="M43" s="11">
        <f>'Employee Attendance'!AK44</f>
        <v>0</v>
      </c>
      <c r="N43" s="11">
        <f>'Employee Attendance'!AM44</f>
        <v>26</v>
      </c>
      <c r="O43" s="56"/>
      <c r="P43" s="55">
        <f t="shared" si="0"/>
        <v>0</v>
      </c>
      <c r="Q43" s="55">
        <f t="shared" si="1"/>
        <v>0</v>
      </c>
      <c r="R43" s="56">
        <v>0</v>
      </c>
      <c r="S43" s="55">
        <f t="shared" si="2"/>
        <v>0</v>
      </c>
      <c r="T43" s="56">
        <v>0</v>
      </c>
      <c r="U43" s="55">
        <f t="shared" si="3"/>
        <v>0</v>
      </c>
      <c r="V43" s="55">
        <f t="shared" si="4"/>
        <v>0</v>
      </c>
      <c r="W43" s="55">
        <f t="shared" si="5"/>
        <v>0</v>
      </c>
      <c r="X43" s="55">
        <f t="shared" si="6"/>
        <v>0</v>
      </c>
      <c r="Y43" s="55">
        <f t="shared" si="7"/>
        <v>0</v>
      </c>
      <c r="Z43" s="56">
        <v>0</v>
      </c>
      <c r="AA43" s="97">
        <v>0.1</v>
      </c>
      <c r="AB43" s="55">
        <f t="shared" si="8"/>
        <v>0</v>
      </c>
      <c r="AC43" s="55">
        <f t="shared" si="9"/>
        <v>0</v>
      </c>
      <c r="AD43" s="56">
        <v>0</v>
      </c>
      <c r="AE43" s="55">
        <f t="shared" si="10"/>
        <v>0</v>
      </c>
      <c r="AF43" s="56">
        <v>0</v>
      </c>
      <c r="AG43" s="57">
        <f t="shared" si="11"/>
        <v>0</v>
      </c>
      <c r="AH43" s="12" t="s">
        <v>192</v>
      </c>
      <c r="AI43" s="12" t="s">
        <v>242</v>
      </c>
      <c r="AJ43" s="3">
        <v>10000000037</v>
      </c>
      <c r="AK43" s="4"/>
    </row>
    <row r="44" spans="1:37" ht="15.6" x14ac:dyDescent="0.3">
      <c r="A44" s="4"/>
      <c r="B44" s="2">
        <v>38</v>
      </c>
      <c r="C44" s="3" t="s">
        <v>133</v>
      </c>
      <c r="D44" s="2" t="s">
        <v>109</v>
      </c>
      <c r="E44" s="2"/>
      <c r="F44" s="3"/>
      <c r="G44" s="3"/>
      <c r="H44" s="3"/>
      <c r="I44" s="87" t="str">
        <f>'Employee Attendance'!$C$6</f>
        <v>January</v>
      </c>
      <c r="J44" s="87">
        <f>'Employee Attendance'!$C$5</f>
        <v>2023</v>
      </c>
      <c r="K44" s="11">
        <f>'Employee Attendance'!AJ45+'Employee Attendance'!AK45</f>
        <v>26</v>
      </c>
      <c r="L44" s="11">
        <f>'Employee Attendance'!AL45</f>
        <v>2</v>
      </c>
      <c r="M44" s="11">
        <f>'Employee Attendance'!AK45</f>
        <v>0</v>
      </c>
      <c r="N44" s="11">
        <f>'Employee Attendance'!AM45</f>
        <v>26</v>
      </c>
      <c r="O44" s="56"/>
      <c r="P44" s="55">
        <f t="shared" si="0"/>
        <v>0</v>
      </c>
      <c r="Q44" s="55">
        <f t="shared" si="1"/>
        <v>0</v>
      </c>
      <c r="R44" s="56">
        <v>0</v>
      </c>
      <c r="S44" s="55">
        <f t="shared" si="2"/>
        <v>0</v>
      </c>
      <c r="T44" s="56">
        <v>0</v>
      </c>
      <c r="U44" s="55">
        <f t="shared" si="3"/>
        <v>0</v>
      </c>
      <c r="V44" s="55">
        <f t="shared" si="4"/>
        <v>0</v>
      </c>
      <c r="W44" s="55">
        <f t="shared" si="5"/>
        <v>0</v>
      </c>
      <c r="X44" s="55">
        <f t="shared" si="6"/>
        <v>0</v>
      </c>
      <c r="Y44" s="55">
        <f t="shared" si="7"/>
        <v>0</v>
      </c>
      <c r="Z44" s="56">
        <v>0</v>
      </c>
      <c r="AA44" s="97">
        <v>0.1</v>
      </c>
      <c r="AB44" s="55">
        <f t="shared" si="8"/>
        <v>0</v>
      </c>
      <c r="AC44" s="55">
        <f t="shared" si="9"/>
        <v>0</v>
      </c>
      <c r="AD44" s="56">
        <v>0</v>
      </c>
      <c r="AE44" s="55">
        <f t="shared" si="10"/>
        <v>0</v>
      </c>
      <c r="AF44" s="56">
        <v>0</v>
      </c>
      <c r="AG44" s="57">
        <f t="shared" si="11"/>
        <v>0</v>
      </c>
      <c r="AH44" s="12" t="s">
        <v>193</v>
      </c>
      <c r="AI44" s="12" t="s">
        <v>243</v>
      </c>
      <c r="AJ44" s="3">
        <v>10000000038</v>
      </c>
      <c r="AK44" s="4"/>
    </row>
    <row r="45" spans="1:37" ht="15.6" x14ac:dyDescent="0.3">
      <c r="A45" s="4"/>
      <c r="B45" s="2">
        <v>39</v>
      </c>
      <c r="C45" s="3" t="s">
        <v>134</v>
      </c>
      <c r="D45" s="2" t="s">
        <v>110</v>
      </c>
      <c r="E45" s="2"/>
      <c r="F45" s="3"/>
      <c r="G45" s="3"/>
      <c r="H45" s="3"/>
      <c r="I45" s="87" t="str">
        <f>'Employee Attendance'!$C$6</f>
        <v>January</v>
      </c>
      <c r="J45" s="87">
        <f>'Employee Attendance'!$C$5</f>
        <v>2023</v>
      </c>
      <c r="K45" s="11">
        <f>'Employee Attendance'!AJ46+'Employee Attendance'!AK46</f>
        <v>26</v>
      </c>
      <c r="L45" s="11">
        <f>'Employee Attendance'!AL46</f>
        <v>2</v>
      </c>
      <c r="M45" s="11">
        <f>'Employee Attendance'!AK46</f>
        <v>0</v>
      </c>
      <c r="N45" s="11">
        <f>'Employee Attendance'!AM46</f>
        <v>26</v>
      </c>
      <c r="O45" s="56"/>
      <c r="P45" s="55">
        <f t="shared" si="0"/>
        <v>0</v>
      </c>
      <c r="Q45" s="55">
        <f t="shared" si="1"/>
        <v>0</v>
      </c>
      <c r="R45" s="56">
        <v>0</v>
      </c>
      <c r="S45" s="55">
        <f t="shared" si="2"/>
        <v>0</v>
      </c>
      <c r="T45" s="56">
        <v>0</v>
      </c>
      <c r="U45" s="55">
        <f t="shared" si="3"/>
        <v>0</v>
      </c>
      <c r="V45" s="55">
        <f t="shared" si="4"/>
        <v>0</v>
      </c>
      <c r="W45" s="55">
        <f t="shared" si="5"/>
        <v>0</v>
      </c>
      <c r="X45" s="55">
        <f t="shared" si="6"/>
        <v>0</v>
      </c>
      <c r="Y45" s="55">
        <f t="shared" si="7"/>
        <v>0</v>
      </c>
      <c r="Z45" s="56">
        <v>0</v>
      </c>
      <c r="AA45" s="97">
        <v>0.1</v>
      </c>
      <c r="AB45" s="55">
        <f t="shared" si="8"/>
        <v>0</v>
      </c>
      <c r="AC45" s="55">
        <f t="shared" si="9"/>
        <v>0</v>
      </c>
      <c r="AD45" s="56">
        <v>0</v>
      </c>
      <c r="AE45" s="55">
        <f t="shared" si="10"/>
        <v>0</v>
      </c>
      <c r="AF45" s="56">
        <v>0</v>
      </c>
      <c r="AG45" s="57">
        <f t="shared" si="11"/>
        <v>0</v>
      </c>
      <c r="AH45" s="12" t="s">
        <v>194</v>
      </c>
      <c r="AI45" s="12" t="s">
        <v>244</v>
      </c>
      <c r="AJ45" s="3">
        <v>10000000039</v>
      </c>
      <c r="AK45" s="4"/>
    </row>
    <row r="46" spans="1:37" ht="15.6" x14ac:dyDescent="0.3">
      <c r="A46" s="4"/>
      <c r="B46" s="2">
        <v>40</v>
      </c>
      <c r="C46" s="3" t="s">
        <v>135</v>
      </c>
      <c r="D46" s="2" t="s">
        <v>111</v>
      </c>
      <c r="E46" s="2"/>
      <c r="F46" s="3"/>
      <c r="G46" s="3"/>
      <c r="H46" s="3"/>
      <c r="I46" s="87" t="str">
        <f>'Employee Attendance'!$C$6</f>
        <v>January</v>
      </c>
      <c r="J46" s="87">
        <f>'Employee Attendance'!$C$5</f>
        <v>2023</v>
      </c>
      <c r="K46" s="11">
        <f>'Employee Attendance'!AJ47+'Employee Attendance'!AK47</f>
        <v>26</v>
      </c>
      <c r="L46" s="11">
        <f>'Employee Attendance'!AL47</f>
        <v>2</v>
      </c>
      <c r="M46" s="11">
        <f>'Employee Attendance'!AK47</f>
        <v>0</v>
      </c>
      <c r="N46" s="11">
        <f>'Employee Attendance'!AM47</f>
        <v>26</v>
      </c>
      <c r="O46" s="56"/>
      <c r="P46" s="55">
        <f t="shared" si="0"/>
        <v>0</v>
      </c>
      <c r="Q46" s="55">
        <f t="shared" si="1"/>
        <v>0</v>
      </c>
      <c r="R46" s="56">
        <v>0</v>
      </c>
      <c r="S46" s="55">
        <f t="shared" si="2"/>
        <v>0</v>
      </c>
      <c r="T46" s="56">
        <v>0</v>
      </c>
      <c r="U46" s="55">
        <f t="shared" si="3"/>
        <v>0</v>
      </c>
      <c r="V46" s="55">
        <f t="shared" si="4"/>
        <v>0</v>
      </c>
      <c r="W46" s="55">
        <f t="shared" si="5"/>
        <v>0</v>
      </c>
      <c r="X46" s="55">
        <f t="shared" si="6"/>
        <v>0</v>
      </c>
      <c r="Y46" s="55">
        <f t="shared" si="7"/>
        <v>0</v>
      </c>
      <c r="Z46" s="56">
        <v>0</v>
      </c>
      <c r="AA46" s="97">
        <v>0.1</v>
      </c>
      <c r="AB46" s="55">
        <f t="shared" si="8"/>
        <v>0</v>
      </c>
      <c r="AC46" s="55">
        <f t="shared" si="9"/>
        <v>0</v>
      </c>
      <c r="AD46" s="56">
        <v>0</v>
      </c>
      <c r="AE46" s="55">
        <f t="shared" si="10"/>
        <v>0</v>
      </c>
      <c r="AF46" s="56">
        <v>0</v>
      </c>
      <c r="AG46" s="57">
        <f t="shared" si="11"/>
        <v>0</v>
      </c>
      <c r="AH46" s="12" t="s">
        <v>195</v>
      </c>
      <c r="AI46" s="12" t="s">
        <v>245</v>
      </c>
      <c r="AJ46" s="3">
        <v>10000000040</v>
      </c>
      <c r="AK46" s="4"/>
    </row>
    <row r="47" spans="1:37" ht="15.6" x14ac:dyDescent="0.3">
      <c r="A47" s="4"/>
      <c r="B47" s="2">
        <v>41</v>
      </c>
      <c r="C47" s="3" t="s">
        <v>136</v>
      </c>
      <c r="D47" s="2" t="s">
        <v>112</v>
      </c>
      <c r="E47" s="2"/>
      <c r="F47" s="3"/>
      <c r="G47" s="3"/>
      <c r="H47" s="3"/>
      <c r="I47" s="87" t="str">
        <f>'Employee Attendance'!$C$6</f>
        <v>January</v>
      </c>
      <c r="J47" s="87">
        <f>'Employee Attendance'!$C$5</f>
        <v>2023</v>
      </c>
      <c r="K47" s="11">
        <f>'Employee Attendance'!AJ48+'Employee Attendance'!AK48</f>
        <v>26</v>
      </c>
      <c r="L47" s="11">
        <f>'Employee Attendance'!AL48</f>
        <v>2</v>
      </c>
      <c r="M47" s="11">
        <f>'Employee Attendance'!AK48</f>
        <v>0</v>
      </c>
      <c r="N47" s="11">
        <f>'Employee Attendance'!AM48</f>
        <v>26</v>
      </c>
      <c r="O47" s="56"/>
      <c r="P47" s="55">
        <f t="shared" si="0"/>
        <v>0</v>
      </c>
      <c r="Q47" s="55">
        <f t="shared" si="1"/>
        <v>0</v>
      </c>
      <c r="R47" s="56">
        <v>0</v>
      </c>
      <c r="S47" s="55">
        <f t="shared" si="2"/>
        <v>0</v>
      </c>
      <c r="T47" s="56">
        <v>0</v>
      </c>
      <c r="U47" s="55">
        <f t="shared" si="3"/>
        <v>0</v>
      </c>
      <c r="V47" s="55">
        <f t="shared" si="4"/>
        <v>0</v>
      </c>
      <c r="W47" s="55">
        <f t="shared" si="5"/>
        <v>0</v>
      </c>
      <c r="X47" s="55">
        <f t="shared" si="6"/>
        <v>0</v>
      </c>
      <c r="Y47" s="55">
        <f t="shared" si="7"/>
        <v>0</v>
      </c>
      <c r="Z47" s="56">
        <v>0</v>
      </c>
      <c r="AA47" s="97">
        <v>0.1</v>
      </c>
      <c r="AB47" s="55">
        <f t="shared" si="8"/>
        <v>0</v>
      </c>
      <c r="AC47" s="55">
        <f t="shared" si="9"/>
        <v>0</v>
      </c>
      <c r="AD47" s="56">
        <v>0</v>
      </c>
      <c r="AE47" s="55">
        <f t="shared" si="10"/>
        <v>0</v>
      </c>
      <c r="AF47" s="56">
        <v>0</v>
      </c>
      <c r="AG47" s="57">
        <f t="shared" si="11"/>
        <v>0</v>
      </c>
      <c r="AH47" s="12" t="s">
        <v>196</v>
      </c>
      <c r="AI47" s="12" t="s">
        <v>246</v>
      </c>
      <c r="AJ47" s="3">
        <v>10000000041</v>
      </c>
      <c r="AK47" s="4"/>
    </row>
    <row r="48" spans="1:37" ht="15.6" x14ac:dyDescent="0.3">
      <c r="A48" s="4"/>
      <c r="B48" s="2">
        <v>42</v>
      </c>
      <c r="C48" s="3" t="s">
        <v>137</v>
      </c>
      <c r="D48" s="2" t="s">
        <v>113</v>
      </c>
      <c r="E48" s="2"/>
      <c r="F48" s="3"/>
      <c r="G48" s="3"/>
      <c r="H48" s="3"/>
      <c r="I48" s="87" t="str">
        <f>'Employee Attendance'!$C$6</f>
        <v>January</v>
      </c>
      <c r="J48" s="87">
        <f>'Employee Attendance'!$C$5</f>
        <v>2023</v>
      </c>
      <c r="K48" s="11">
        <f>'Employee Attendance'!AJ49+'Employee Attendance'!AK49</f>
        <v>26</v>
      </c>
      <c r="L48" s="11">
        <f>'Employee Attendance'!AL49</f>
        <v>2</v>
      </c>
      <c r="M48" s="11">
        <f>'Employee Attendance'!AK49</f>
        <v>0</v>
      </c>
      <c r="N48" s="11">
        <f>'Employee Attendance'!AM49</f>
        <v>26</v>
      </c>
      <c r="O48" s="56"/>
      <c r="P48" s="55">
        <f t="shared" si="0"/>
        <v>0</v>
      </c>
      <c r="Q48" s="55">
        <f t="shared" si="1"/>
        <v>0</v>
      </c>
      <c r="R48" s="56">
        <v>0</v>
      </c>
      <c r="S48" s="55">
        <f t="shared" si="2"/>
        <v>0</v>
      </c>
      <c r="T48" s="56">
        <v>0</v>
      </c>
      <c r="U48" s="55">
        <f t="shared" si="3"/>
        <v>0</v>
      </c>
      <c r="V48" s="55">
        <f t="shared" si="4"/>
        <v>0</v>
      </c>
      <c r="W48" s="55">
        <f t="shared" si="5"/>
        <v>0</v>
      </c>
      <c r="X48" s="55">
        <f t="shared" si="6"/>
        <v>0</v>
      </c>
      <c r="Y48" s="55">
        <f t="shared" si="7"/>
        <v>0</v>
      </c>
      <c r="Z48" s="56">
        <v>0</v>
      </c>
      <c r="AA48" s="97">
        <v>0.1</v>
      </c>
      <c r="AB48" s="55">
        <f t="shared" si="8"/>
        <v>0</v>
      </c>
      <c r="AC48" s="55">
        <f t="shared" si="9"/>
        <v>0</v>
      </c>
      <c r="AD48" s="56">
        <v>0</v>
      </c>
      <c r="AE48" s="55">
        <f t="shared" si="10"/>
        <v>0</v>
      </c>
      <c r="AF48" s="56">
        <v>0</v>
      </c>
      <c r="AG48" s="57">
        <f t="shared" si="11"/>
        <v>0</v>
      </c>
      <c r="AH48" s="12" t="s">
        <v>197</v>
      </c>
      <c r="AI48" s="12" t="s">
        <v>247</v>
      </c>
      <c r="AJ48" s="3">
        <v>10000000042</v>
      </c>
      <c r="AK48" s="4"/>
    </row>
    <row r="49" spans="1:37" ht="15.6" x14ac:dyDescent="0.3">
      <c r="A49" s="4"/>
      <c r="B49" s="2">
        <v>43</v>
      </c>
      <c r="C49" s="3" t="s">
        <v>138</v>
      </c>
      <c r="D49" s="2" t="s">
        <v>114</v>
      </c>
      <c r="E49" s="2"/>
      <c r="F49" s="3"/>
      <c r="G49" s="3"/>
      <c r="H49" s="3"/>
      <c r="I49" s="87" t="str">
        <f>'Employee Attendance'!$C$6</f>
        <v>January</v>
      </c>
      <c r="J49" s="87">
        <f>'Employee Attendance'!$C$5</f>
        <v>2023</v>
      </c>
      <c r="K49" s="11">
        <f>'Employee Attendance'!AJ50+'Employee Attendance'!AK50</f>
        <v>26</v>
      </c>
      <c r="L49" s="11">
        <f>'Employee Attendance'!AL50</f>
        <v>2</v>
      </c>
      <c r="M49" s="11">
        <f>'Employee Attendance'!AK50</f>
        <v>0</v>
      </c>
      <c r="N49" s="11">
        <f>'Employee Attendance'!AM50</f>
        <v>26</v>
      </c>
      <c r="O49" s="56"/>
      <c r="P49" s="55">
        <f t="shared" si="0"/>
        <v>0</v>
      </c>
      <c r="Q49" s="55">
        <f t="shared" si="1"/>
        <v>0</v>
      </c>
      <c r="R49" s="56">
        <v>0</v>
      </c>
      <c r="S49" s="55">
        <f t="shared" si="2"/>
        <v>0</v>
      </c>
      <c r="T49" s="56">
        <v>0</v>
      </c>
      <c r="U49" s="55">
        <f t="shared" si="3"/>
        <v>0</v>
      </c>
      <c r="V49" s="55">
        <f t="shared" si="4"/>
        <v>0</v>
      </c>
      <c r="W49" s="55">
        <f t="shared" si="5"/>
        <v>0</v>
      </c>
      <c r="X49" s="55">
        <f t="shared" si="6"/>
        <v>0</v>
      </c>
      <c r="Y49" s="55">
        <f t="shared" si="7"/>
        <v>0</v>
      </c>
      <c r="Z49" s="56">
        <v>0</v>
      </c>
      <c r="AA49" s="97">
        <v>0.1</v>
      </c>
      <c r="AB49" s="55">
        <f t="shared" si="8"/>
        <v>0</v>
      </c>
      <c r="AC49" s="55">
        <f t="shared" si="9"/>
        <v>0</v>
      </c>
      <c r="AD49" s="56">
        <v>0</v>
      </c>
      <c r="AE49" s="55">
        <f t="shared" si="10"/>
        <v>0</v>
      </c>
      <c r="AF49" s="56">
        <v>0</v>
      </c>
      <c r="AG49" s="57">
        <f t="shared" si="11"/>
        <v>0</v>
      </c>
      <c r="AH49" s="12" t="s">
        <v>198</v>
      </c>
      <c r="AI49" s="12" t="s">
        <v>248</v>
      </c>
      <c r="AJ49" s="3">
        <v>10000000043</v>
      </c>
      <c r="AK49" s="4"/>
    </row>
    <row r="50" spans="1:37" ht="15.6" x14ac:dyDescent="0.3">
      <c r="A50" s="4"/>
      <c r="B50" s="2">
        <v>44</v>
      </c>
      <c r="C50" s="3" t="s">
        <v>139</v>
      </c>
      <c r="D50" s="2" t="s">
        <v>115</v>
      </c>
      <c r="E50" s="2"/>
      <c r="F50" s="3"/>
      <c r="G50" s="3"/>
      <c r="H50" s="3"/>
      <c r="I50" s="87" t="str">
        <f>'Employee Attendance'!$C$6</f>
        <v>January</v>
      </c>
      <c r="J50" s="87">
        <f>'Employee Attendance'!$C$5</f>
        <v>2023</v>
      </c>
      <c r="K50" s="11">
        <f>'Employee Attendance'!AJ51+'Employee Attendance'!AK51</f>
        <v>26</v>
      </c>
      <c r="L50" s="11">
        <f>'Employee Attendance'!AL51</f>
        <v>2</v>
      </c>
      <c r="M50" s="11">
        <f>'Employee Attendance'!AK51</f>
        <v>0</v>
      </c>
      <c r="N50" s="11">
        <f>'Employee Attendance'!AM51</f>
        <v>26</v>
      </c>
      <c r="O50" s="56"/>
      <c r="P50" s="55">
        <f t="shared" si="0"/>
        <v>0</v>
      </c>
      <c r="Q50" s="55">
        <f t="shared" si="1"/>
        <v>0</v>
      </c>
      <c r="R50" s="56">
        <v>0</v>
      </c>
      <c r="S50" s="55">
        <f t="shared" si="2"/>
        <v>0</v>
      </c>
      <c r="T50" s="56">
        <v>0</v>
      </c>
      <c r="U50" s="55">
        <f t="shared" si="3"/>
        <v>0</v>
      </c>
      <c r="V50" s="55">
        <f t="shared" si="4"/>
        <v>0</v>
      </c>
      <c r="W50" s="55">
        <f t="shared" si="5"/>
        <v>0</v>
      </c>
      <c r="X50" s="55">
        <f t="shared" si="6"/>
        <v>0</v>
      </c>
      <c r="Y50" s="55">
        <f t="shared" si="7"/>
        <v>0</v>
      </c>
      <c r="Z50" s="56">
        <v>0</v>
      </c>
      <c r="AA50" s="97">
        <v>0.1</v>
      </c>
      <c r="AB50" s="55">
        <f t="shared" si="8"/>
        <v>0</v>
      </c>
      <c r="AC50" s="55">
        <f t="shared" si="9"/>
        <v>0</v>
      </c>
      <c r="AD50" s="56">
        <v>0</v>
      </c>
      <c r="AE50" s="55">
        <f t="shared" si="10"/>
        <v>0</v>
      </c>
      <c r="AF50" s="56">
        <v>0</v>
      </c>
      <c r="AG50" s="57">
        <f t="shared" si="11"/>
        <v>0</v>
      </c>
      <c r="AH50" s="12" t="s">
        <v>199</v>
      </c>
      <c r="AI50" s="12" t="s">
        <v>249</v>
      </c>
      <c r="AJ50" s="3">
        <v>10000000044</v>
      </c>
      <c r="AK50" s="4"/>
    </row>
    <row r="51" spans="1:37" ht="15.6" x14ac:dyDescent="0.3">
      <c r="A51" s="4"/>
      <c r="B51" s="2">
        <v>45</v>
      </c>
      <c r="C51" s="3" t="s">
        <v>140</v>
      </c>
      <c r="D51" s="2" t="s">
        <v>119</v>
      </c>
      <c r="E51" s="2"/>
      <c r="F51" s="3"/>
      <c r="G51" s="3"/>
      <c r="H51" s="3"/>
      <c r="I51" s="87" t="str">
        <f>'Employee Attendance'!$C$6</f>
        <v>January</v>
      </c>
      <c r="J51" s="87">
        <f>'Employee Attendance'!$C$5</f>
        <v>2023</v>
      </c>
      <c r="K51" s="11">
        <f>'Employee Attendance'!AJ52+'Employee Attendance'!AK52</f>
        <v>26</v>
      </c>
      <c r="L51" s="11">
        <f>'Employee Attendance'!AL52</f>
        <v>2</v>
      </c>
      <c r="M51" s="11">
        <f>'Employee Attendance'!AK52</f>
        <v>0</v>
      </c>
      <c r="N51" s="11">
        <f>'Employee Attendance'!AM52</f>
        <v>26</v>
      </c>
      <c r="O51" s="56"/>
      <c r="P51" s="55">
        <f t="shared" si="0"/>
        <v>0</v>
      </c>
      <c r="Q51" s="55">
        <f t="shared" si="1"/>
        <v>0</v>
      </c>
      <c r="R51" s="56">
        <v>0</v>
      </c>
      <c r="S51" s="55">
        <f t="shared" si="2"/>
        <v>0</v>
      </c>
      <c r="T51" s="56">
        <v>0</v>
      </c>
      <c r="U51" s="55">
        <f t="shared" si="3"/>
        <v>0</v>
      </c>
      <c r="V51" s="55">
        <f t="shared" si="4"/>
        <v>0</v>
      </c>
      <c r="W51" s="55">
        <f t="shared" si="5"/>
        <v>0</v>
      </c>
      <c r="X51" s="55">
        <f t="shared" si="6"/>
        <v>0</v>
      </c>
      <c r="Y51" s="55">
        <f t="shared" si="7"/>
        <v>0</v>
      </c>
      <c r="Z51" s="56">
        <v>0</v>
      </c>
      <c r="AA51" s="97">
        <v>0.1</v>
      </c>
      <c r="AB51" s="55">
        <f t="shared" si="8"/>
        <v>0</v>
      </c>
      <c r="AC51" s="55">
        <f t="shared" si="9"/>
        <v>0</v>
      </c>
      <c r="AD51" s="56">
        <v>0</v>
      </c>
      <c r="AE51" s="55">
        <f t="shared" si="10"/>
        <v>0</v>
      </c>
      <c r="AF51" s="56">
        <v>0</v>
      </c>
      <c r="AG51" s="57">
        <f t="shared" si="11"/>
        <v>0</v>
      </c>
      <c r="AH51" s="12" t="s">
        <v>200</v>
      </c>
      <c r="AI51" s="12" t="s">
        <v>250</v>
      </c>
      <c r="AJ51" s="3">
        <v>10000000045</v>
      </c>
      <c r="AK51" s="4"/>
    </row>
    <row r="52" spans="1:37" ht="15.6" x14ac:dyDescent="0.3">
      <c r="A52" s="4"/>
      <c r="B52" s="2">
        <v>46</v>
      </c>
      <c r="C52" s="3" t="s">
        <v>141</v>
      </c>
      <c r="D52" s="2" t="s">
        <v>116</v>
      </c>
      <c r="E52" s="2"/>
      <c r="F52" s="3"/>
      <c r="G52" s="3"/>
      <c r="H52" s="3"/>
      <c r="I52" s="87" t="str">
        <f>'Employee Attendance'!$C$6</f>
        <v>January</v>
      </c>
      <c r="J52" s="87">
        <f>'Employee Attendance'!$C$5</f>
        <v>2023</v>
      </c>
      <c r="K52" s="11">
        <f>'Employee Attendance'!AJ53+'Employee Attendance'!AK53</f>
        <v>26</v>
      </c>
      <c r="L52" s="11">
        <f>'Employee Attendance'!AL53</f>
        <v>2</v>
      </c>
      <c r="M52" s="11">
        <f>'Employee Attendance'!AK53</f>
        <v>0</v>
      </c>
      <c r="N52" s="11">
        <f>'Employee Attendance'!AM53</f>
        <v>26</v>
      </c>
      <c r="O52" s="56"/>
      <c r="P52" s="55">
        <f t="shared" si="0"/>
        <v>0</v>
      </c>
      <c r="Q52" s="55">
        <f t="shared" si="1"/>
        <v>0</v>
      </c>
      <c r="R52" s="56">
        <v>0</v>
      </c>
      <c r="S52" s="55">
        <f t="shared" si="2"/>
        <v>0</v>
      </c>
      <c r="T52" s="56">
        <v>0</v>
      </c>
      <c r="U52" s="55">
        <f t="shared" si="3"/>
        <v>0</v>
      </c>
      <c r="V52" s="55">
        <f t="shared" si="4"/>
        <v>0</v>
      </c>
      <c r="W52" s="55">
        <f t="shared" si="5"/>
        <v>0</v>
      </c>
      <c r="X52" s="55">
        <f t="shared" si="6"/>
        <v>0</v>
      </c>
      <c r="Y52" s="55">
        <f t="shared" si="7"/>
        <v>0</v>
      </c>
      <c r="Z52" s="56">
        <v>0</v>
      </c>
      <c r="AA52" s="97">
        <v>0.1</v>
      </c>
      <c r="AB52" s="55">
        <f t="shared" si="8"/>
        <v>0</v>
      </c>
      <c r="AC52" s="55">
        <f t="shared" si="9"/>
        <v>0</v>
      </c>
      <c r="AD52" s="56">
        <v>0</v>
      </c>
      <c r="AE52" s="55">
        <f t="shared" si="10"/>
        <v>0</v>
      </c>
      <c r="AF52" s="56">
        <v>0</v>
      </c>
      <c r="AG52" s="57">
        <f t="shared" si="11"/>
        <v>0</v>
      </c>
      <c r="AH52" s="12" t="s">
        <v>201</v>
      </c>
      <c r="AI52" s="12" t="s">
        <v>251</v>
      </c>
      <c r="AJ52" s="3">
        <v>10000000046</v>
      </c>
      <c r="AK52" s="4"/>
    </row>
    <row r="53" spans="1:37" ht="15.6" x14ac:dyDescent="0.3">
      <c r="A53" s="4"/>
      <c r="B53" s="2">
        <v>47</v>
      </c>
      <c r="C53" s="3" t="s">
        <v>142</v>
      </c>
      <c r="D53" s="2" t="s">
        <v>117</v>
      </c>
      <c r="E53" s="2"/>
      <c r="F53" s="3"/>
      <c r="G53" s="3"/>
      <c r="H53" s="3"/>
      <c r="I53" s="87" t="str">
        <f>'Employee Attendance'!$C$6</f>
        <v>January</v>
      </c>
      <c r="J53" s="87">
        <f>'Employee Attendance'!$C$5</f>
        <v>2023</v>
      </c>
      <c r="K53" s="11">
        <f>'Employee Attendance'!AJ54+'Employee Attendance'!AK54</f>
        <v>26</v>
      </c>
      <c r="L53" s="11">
        <f>'Employee Attendance'!AL54</f>
        <v>2</v>
      </c>
      <c r="M53" s="11">
        <f>'Employee Attendance'!AK54</f>
        <v>0</v>
      </c>
      <c r="N53" s="11">
        <f>'Employee Attendance'!AM54</f>
        <v>26</v>
      </c>
      <c r="O53" s="56"/>
      <c r="P53" s="55">
        <f t="shared" si="0"/>
        <v>0</v>
      </c>
      <c r="Q53" s="55">
        <f t="shared" si="1"/>
        <v>0</v>
      </c>
      <c r="R53" s="56">
        <v>0</v>
      </c>
      <c r="S53" s="55">
        <f t="shared" si="2"/>
        <v>0</v>
      </c>
      <c r="T53" s="56">
        <v>0</v>
      </c>
      <c r="U53" s="55">
        <f t="shared" si="3"/>
        <v>0</v>
      </c>
      <c r="V53" s="55">
        <f t="shared" si="4"/>
        <v>0</v>
      </c>
      <c r="W53" s="55">
        <f t="shared" si="5"/>
        <v>0</v>
      </c>
      <c r="X53" s="55">
        <f t="shared" si="6"/>
        <v>0</v>
      </c>
      <c r="Y53" s="55">
        <f t="shared" si="7"/>
        <v>0</v>
      </c>
      <c r="Z53" s="56">
        <v>0</v>
      </c>
      <c r="AA53" s="97">
        <v>0.1</v>
      </c>
      <c r="AB53" s="55">
        <f t="shared" si="8"/>
        <v>0</v>
      </c>
      <c r="AC53" s="55">
        <f t="shared" si="9"/>
        <v>0</v>
      </c>
      <c r="AD53" s="56">
        <v>0</v>
      </c>
      <c r="AE53" s="55">
        <f t="shared" si="10"/>
        <v>0</v>
      </c>
      <c r="AF53" s="56">
        <v>0</v>
      </c>
      <c r="AG53" s="57">
        <f t="shared" si="11"/>
        <v>0</v>
      </c>
      <c r="AH53" s="12" t="s">
        <v>202</v>
      </c>
      <c r="AI53" s="12" t="s">
        <v>252</v>
      </c>
      <c r="AJ53" s="3">
        <v>10000000047</v>
      </c>
      <c r="AK53" s="4"/>
    </row>
    <row r="54" spans="1:37" ht="15.6" x14ac:dyDescent="0.3">
      <c r="A54" s="4"/>
      <c r="B54" s="2">
        <v>48</v>
      </c>
      <c r="C54" s="3" t="s">
        <v>143</v>
      </c>
      <c r="D54" s="2" t="s">
        <v>118</v>
      </c>
      <c r="E54" s="2"/>
      <c r="F54" s="3"/>
      <c r="G54" s="3"/>
      <c r="H54" s="3"/>
      <c r="I54" s="87" t="str">
        <f>'Employee Attendance'!$C$6</f>
        <v>January</v>
      </c>
      <c r="J54" s="87">
        <f>'Employee Attendance'!$C$5</f>
        <v>2023</v>
      </c>
      <c r="K54" s="11">
        <f>'Employee Attendance'!AJ55+'Employee Attendance'!AK55</f>
        <v>26</v>
      </c>
      <c r="L54" s="11">
        <f>'Employee Attendance'!AL55</f>
        <v>2</v>
      </c>
      <c r="M54" s="11">
        <f>'Employee Attendance'!AK55</f>
        <v>0</v>
      </c>
      <c r="N54" s="11">
        <f>'Employee Attendance'!AM55</f>
        <v>26</v>
      </c>
      <c r="O54" s="56"/>
      <c r="P54" s="55">
        <f t="shared" si="0"/>
        <v>0</v>
      </c>
      <c r="Q54" s="55">
        <f t="shared" si="1"/>
        <v>0</v>
      </c>
      <c r="R54" s="56">
        <v>0</v>
      </c>
      <c r="S54" s="55">
        <f t="shared" si="2"/>
        <v>0</v>
      </c>
      <c r="T54" s="56">
        <v>0</v>
      </c>
      <c r="U54" s="55">
        <f t="shared" si="3"/>
        <v>0</v>
      </c>
      <c r="V54" s="55">
        <f t="shared" si="4"/>
        <v>0</v>
      </c>
      <c r="W54" s="55">
        <f t="shared" si="5"/>
        <v>0</v>
      </c>
      <c r="X54" s="55">
        <f t="shared" si="6"/>
        <v>0</v>
      </c>
      <c r="Y54" s="55">
        <f t="shared" si="7"/>
        <v>0</v>
      </c>
      <c r="Z54" s="56">
        <v>0</v>
      </c>
      <c r="AA54" s="97">
        <v>0.1</v>
      </c>
      <c r="AB54" s="55">
        <f t="shared" si="8"/>
        <v>0</v>
      </c>
      <c r="AC54" s="55">
        <f t="shared" si="9"/>
        <v>0</v>
      </c>
      <c r="AD54" s="56">
        <v>0</v>
      </c>
      <c r="AE54" s="55">
        <f t="shared" si="10"/>
        <v>0</v>
      </c>
      <c r="AF54" s="56">
        <v>0</v>
      </c>
      <c r="AG54" s="57">
        <f t="shared" si="11"/>
        <v>0</v>
      </c>
      <c r="AH54" s="12" t="s">
        <v>203</v>
      </c>
      <c r="AI54" s="12" t="s">
        <v>253</v>
      </c>
      <c r="AJ54" s="3">
        <v>10000000048</v>
      </c>
      <c r="AK54" s="4"/>
    </row>
    <row r="55" spans="1:37" ht="15.6" x14ac:dyDescent="0.3">
      <c r="A55" s="4"/>
      <c r="B55" s="2">
        <v>49</v>
      </c>
      <c r="C55" s="3" t="s">
        <v>144</v>
      </c>
      <c r="D55" s="2" t="s">
        <v>120</v>
      </c>
      <c r="E55" s="2"/>
      <c r="F55" s="3"/>
      <c r="G55" s="3"/>
      <c r="H55" s="3"/>
      <c r="I55" s="87" t="str">
        <f>'Employee Attendance'!$C$6</f>
        <v>January</v>
      </c>
      <c r="J55" s="87">
        <f>'Employee Attendance'!$C$5</f>
        <v>2023</v>
      </c>
      <c r="K55" s="11">
        <f>'Employee Attendance'!AJ56+'Employee Attendance'!AK56</f>
        <v>26</v>
      </c>
      <c r="L55" s="11">
        <f>'Employee Attendance'!AL56</f>
        <v>2</v>
      </c>
      <c r="M55" s="11">
        <f>'Employee Attendance'!AK56</f>
        <v>0</v>
      </c>
      <c r="N55" s="11">
        <f>'Employee Attendance'!AM56</f>
        <v>26</v>
      </c>
      <c r="O55" s="56"/>
      <c r="P55" s="55">
        <f t="shared" si="0"/>
        <v>0</v>
      </c>
      <c r="Q55" s="55">
        <f t="shared" si="1"/>
        <v>0</v>
      </c>
      <c r="R55" s="56">
        <v>0</v>
      </c>
      <c r="S55" s="55">
        <f t="shared" si="2"/>
        <v>0</v>
      </c>
      <c r="T55" s="56">
        <v>0</v>
      </c>
      <c r="U55" s="55">
        <f t="shared" si="3"/>
        <v>0</v>
      </c>
      <c r="V55" s="55">
        <f t="shared" si="4"/>
        <v>0</v>
      </c>
      <c r="W55" s="55">
        <f t="shared" si="5"/>
        <v>0</v>
      </c>
      <c r="X55" s="55">
        <f t="shared" si="6"/>
        <v>0</v>
      </c>
      <c r="Y55" s="55">
        <f t="shared" si="7"/>
        <v>0</v>
      </c>
      <c r="Z55" s="56">
        <v>0</v>
      </c>
      <c r="AA55" s="97">
        <v>0.1</v>
      </c>
      <c r="AB55" s="55">
        <f t="shared" si="8"/>
        <v>0</v>
      </c>
      <c r="AC55" s="55">
        <f t="shared" si="9"/>
        <v>0</v>
      </c>
      <c r="AD55" s="56">
        <v>0</v>
      </c>
      <c r="AE55" s="55">
        <f t="shared" si="10"/>
        <v>0</v>
      </c>
      <c r="AF55" s="56">
        <v>0</v>
      </c>
      <c r="AG55" s="57">
        <f t="shared" si="11"/>
        <v>0</v>
      </c>
      <c r="AH55" s="12" t="s">
        <v>204</v>
      </c>
      <c r="AI55" s="12" t="s">
        <v>254</v>
      </c>
      <c r="AJ55" s="3">
        <v>10000000049</v>
      </c>
      <c r="AK55" s="4"/>
    </row>
    <row r="56" spans="1:37" ht="15.6" x14ac:dyDescent="0.3">
      <c r="A56" s="4"/>
      <c r="B56" s="2">
        <v>50</v>
      </c>
      <c r="C56" s="3" t="s">
        <v>145</v>
      </c>
      <c r="D56" s="2" t="s">
        <v>121</v>
      </c>
      <c r="E56" s="2"/>
      <c r="F56" s="3"/>
      <c r="G56" s="3"/>
      <c r="H56" s="3"/>
      <c r="I56" s="87" t="str">
        <f>'Employee Attendance'!$C$6</f>
        <v>January</v>
      </c>
      <c r="J56" s="87">
        <f>'Employee Attendance'!$C$5</f>
        <v>2023</v>
      </c>
      <c r="K56" s="11">
        <f>'Employee Attendance'!AJ57+'Employee Attendance'!AK57</f>
        <v>26</v>
      </c>
      <c r="L56" s="11">
        <f>'Employee Attendance'!AL57</f>
        <v>2</v>
      </c>
      <c r="M56" s="11">
        <f>'Employee Attendance'!AK57</f>
        <v>0</v>
      </c>
      <c r="N56" s="11">
        <f>'Employee Attendance'!AM57</f>
        <v>26</v>
      </c>
      <c r="O56" s="56"/>
      <c r="P56" s="55">
        <f t="shared" si="0"/>
        <v>0</v>
      </c>
      <c r="Q56" s="55">
        <f t="shared" si="1"/>
        <v>0</v>
      </c>
      <c r="R56" s="56">
        <v>0</v>
      </c>
      <c r="S56" s="55">
        <f t="shared" si="2"/>
        <v>0</v>
      </c>
      <c r="T56" s="56">
        <v>0</v>
      </c>
      <c r="U56" s="55">
        <f t="shared" si="3"/>
        <v>0</v>
      </c>
      <c r="V56" s="55">
        <f t="shared" si="4"/>
        <v>0</v>
      </c>
      <c r="W56" s="55">
        <f t="shared" si="5"/>
        <v>0</v>
      </c>
      <c r="X56" s="55">
        <f t="shared" si="6"/>
        <v>0</v>
      </c>
      <c r="Y56" s="55">
        <f t="shared" si="7"/>
        <v>0</v>
      </c>
      <c r="Z56" s="56">
        <v>0</v>
      </c>
      <c r="AA56" s="97">
        <v>0.1</v>
      </c>
      <c r="AB56" s="55">
        <f t="shared" si="8"/>
        <v>0</v>
      </c>
      <c r="AC56" s="55">
        <f t="shared" si="9"/>
        <v>0</v>
      </c>
      <c r="AD56" s="56">
        <v>0</v>
      </c>
      <c r="AE56" s="55">
        <f t="shared" si="10"/>
        <v>0</v>
      </c>
      <c r="AF56" s="56">
        <v>0</v>
      </c>
      <c r="AG56" s="57">
        <f t="shared" si="11"/>
        <v>0</v>
      </c>
      <c r="AH56" s="12" t="s">
        <v>205</v>
      </c>
      <c r="AI56" s="12" t="s">
        <v>255</v>
      </c>
      <c r="AJ56" s="3">
        <v>10000000050</v>
      </c>
      <c r="AK56" s="4"/>
    </row>
    <row r="57" spans="1:37" x14ac:dyDescent="0.3">
      <c r="A57" s="4"/>
      <c r="B57" s="2"/>
      <c r="C57" s="2"/>
      <c r="D57" s="114" t="s">
        <v>60</v>
      </c>
      <c r="E57" s="114"/>
      <c r="F57" s="5"/>
      <c r="G57" s="5"/>
      <c r="H57" s="5"/>
      <c r="I57" s="3"/>
      <c r="J57" s="3"/>
      <c r="K57" s="5"/>
      <c r="L57" s="5"/>
      <c r="M57" s="5"/>
      <c r="N57" s="11"/>
      <c r="O57" s="5"/>
      <c r="P57" s="55" t="str">
        <f t="shared" si="0"/>
        <v/>
      </c>
      <c r="Q57" s="55">
        <f t="shared" si="1"/>
        <v>0</v>
      </c>
      <c r="R57" s="14">
        <f t="shared" ref="R57:AG57" si="12">SUM(R7:R56)</f>
        <v>39800</v>
      </c>
      <c r="S57" s="55" t="str">
        <f t="shared" si="2"/>
        <v/>
      </c>
      <c r="T57" s="14">
        <f t="shared" si="12"/>
        <v>26000</v>
      </c>
      <c r="U57" s="55" t="str">
        <f t="shared" si="3"/>
        <v/>
      </c>
      <c r="V57" s="14">
        <f t="shared" si="12"/>
        <v>42450</v>
      </c>
      <c r="W57" s="55" t="str">
        <f t="shared" si="5"/>
        <v/>
      </c>
      <c r="X57" s="14">
        <f t="shared" si="12"/>
        <v>228280</v>
      </c>
      <c r="Y57" s="14">
        <f t="shared" si="12"/>
        <v>570700</v>
      </c>
      <c r="Z57" s="14">
        <f t="shared" si="12"/>
        <v>3750</v>
      </c>
      <c r="AA57" s="14"/>
      <c r="AB57" s="55">
        <f t="shared" si="8"/>
        <v>0</v>
      </c>
      <c r="AC57" s="55">
        <f t="shared" si="9"/>
        <v>68484</v>
      </c>
      <c r="AD57" s="14">
        <f t="shared" si="12"/>
        <v>18500</v>
      </c>
      <c r="AE57" s="55">
        <f t="shared" si="10"/>
        <v>0</v>
      </c>
      <c r="AF57" s="14">
        <f t="shared" si="12"/>
        <v>13000</v>
      </c>
      <c r="AG57" s="14">
        <f t="shared" si="12"/>
        <v>486226</v>
      </c>
      <c r="AH57" s="12"/>
      <c r="AI57" s="12"/>
      <c r="AJ57" s="3"/>
      <c r="AK57" s="4"/>
    </row>
    <row r="58" spans="1:37" x14ac:dyDescent="0.3">
      <c r="A58" s="4"/>
      <c r="B58" s="4"/>
      <c r="C58" s="4"/>
      <c r="D58" s="4"/>
      <c r="E58" s="4"/>
      <c r="F58" s="4"/>
      <c r="G58" s="10"/>
      <c r="H58" s="10"/>
      <c r="I58" s="10"/>
      <c r="J58" s="10"/>
      <c r="K58" s="10"/>
      <c r="L58" s="10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</row>
  </sheetData>
  <mergeCells count="14">
    <mergeCell ref="D57:E57"/>
    <mergeCell ref="AH5:AJ5"/>
    <mergeCell ref="P4:T4"/>
    <mergeCell ref="B5:O5"/>
    <mergeCell ref="B2:C2"/>
    <mergeCell ref="B3:C3"/>
    <mergeCell ref="B4:C4"/>
    <mergeCell ref="P2:AJ2"/>
    <mergeCell ref="Q5:X5"/>
    <mergeCell ref="D2:O2"/>
    <mergeCell ref="D3:O3"/>
    <mergeCell ref="D4:O4"/>
    <mergeCell ref="Z5:AE5"/>
    <mergeCell ref="P3:T3"/>
  </mergeCells>
  <dataValidations count="4">
    <dataValidation type="list" allowBlank="1" showInputMessage="1" showErrorMessage="1" sqref="G7:G56" xr:uid="{00000000-0002-0000-0100-000000000000}">
      <formula1>"Metro, Non-Metro"</formula1>
    </dataValidation>
    <dataValidation type="list" allowBlank="1" showInputMessage="1" showErrorMessage="1" sqref="H27:H56" xr:uid="{00000000-0002-0000-0100-000001000000}">
      <formula1>"Male, Female"</formula1>
    </dataValidation>
    <dataValidation type="list" allowBlank="1" showInputMessage="1" showErrorMessage="1" sqref="H7:H26" xr:uid="{00000000-0002-0000-0100-000002000000}">
      <formula1>"M, F"</formula1>
    </dataValidation>
    <dataValidation allowBlank="1" showInputMessage="1" showErrorMessage="1" sqref="J7:J56" xr:uid="{00000000-0002-0000-0100-000003000000}"/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/>
  <dimension ref="A1:AK649"/>
  <sheetViews>
    <sheetView workbookViewId="0">
      <pane xSplit="15" ySplit="2" topLeftCell="P3" activePane="bottomRight" state="frozen"/>
      <selection pane="topRight" activeCell="K1" sqref="K1"/>
      <selection pane="bottomLeft" activeCell="A10" sqref="A10"/>
      <selection pane="bottomRight" activeCell="K13" sqref="K13"/>
    </sheetView>
  </sheetViews>
  <sheetFormatPr defaultColWidth="9.109375" defaultRowHeight="14.4" x14ac:dyDescent="0.3"/>
  <cols>
    <col min="1" max="1" width="3" style="82" customWidth="1"/>
    <col min="2" max="2" width="5.88671875" style="82" customWidth="1"/>
    <col min="3" max="3" width="14.44140625" style="82" customWidth="1"/>
    <col min="4" max="4" width="16" style="82" customWidth="1"/>
    <col min="5" max="5" width="16.109375" style="82" hidden="1" customWidth="1"/>
    <col min="6" max="6" width="7.6640625" style="82" hidden="1" customWidth="1"/>
    <col min="7" max="7" width="10.44140625" style="93" hidden="1" customWidth="1"/>
    <col min="8" max="8" width="3.6640625" style="93" hidden="1" customWidth="1"/>
    <col min="9" max="9" width="11.5546875" style="93" bestFit="1" customWidth="1"/>
    <col min="10" max="10" width="5.6640625" style="93" customWidth="1"/>
    <col min="11" max="11" width="8.6640625" style="93" customWidth="1"/>
    <col min="12" max="12" width="8.33203125" style="93" customWidth="1"/>
    <col min="13" max="13" width="6.109375" style="82" customWidth="1"/>
    <col min="14" max="14" width="8.109375" style="82" customWidth="1"/>
    <col min="15" max="15" width="8.109375" style="82" bestFit="1" customWidth="1"/>
    <col min="16" max="16" width="10.109375" style="82" customWidth="1"/>
    <col min="17" max="17" width="11.6640625" style="82" customWidth="1"/>
    <col min="18" max="18" width="11.6640625" style="82" bestFit="1" customWidth="1"/>
    <col min="19" max="19" width="11.44140625" style="82" customWidth="1"/>
    <col min="20" max="20" width="10.33203125" style="82" bestFit="1" customWidth="1"/>
    <col min="21" max="21" width="7.109375" style="82" bestFit="1" customWidth="1"/>
    <col min="22" max="22" width="11.88671875" style="82" bestFit="1" customWidth="1"/>
    <col min="23" max="23" width="11.33203125" style="82" bestFit="1" customWidth="1"/>
    <col min="24" max="24" width="11.109375" style="82" bestFit="1" customWidth="1"/>
    <col min="25" max="25" width="8.109375" style="82" bestFit="1" customWidth="1"/>
    <col min="26" max="26" width="9.33203125" style="82" customWidth="1"/>
    <col min="27" max="27" width="6.33203125" style="82" customWidth="1"/>
    <col min="28" max="28" width="9" style="82" bestFit="1" customWidth="1"/>
    <col min="29" max="29" width="9" style="82" customWidth="1"/>
    <col min="30" max="30" width="9" style="82" bestFit="1" customWidth="1"/>
    <col min="31" max="31" width="10.6640625" style="82" customWidth="1"/>
    <col min="32" max="32" width="11" style="82" bestFit="1" customWidth="1"/>
    <col min="33" max="33" width="12.109375" style="82" bestFit="1" customWidth="1"/>
    <col min="34" max="35" width="12.109375" style="82" hidden="1" customWidth="1"/>
    <col min="36" max="36" width="16.109375" style="82" hidden="1" customWidth="1"/>
    <col min="37" max="37" width="3" style="82" customWidth="1"/>
    <col min="38" max="38" width="9.109375" style="82" customWidth="1"/>
    <col min="39" max="16384" width="9.109375" style="82"/>
  </cols>
  <sheetData>
    <row r="1" spans="1:37" ht="21.75" customHeight="1" x14ac:dyDescent="0.3">
      <c r="A1" s="92"/>
      <c r="B1" s="130" t="s">
        <v>323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74"/>
      <c r="Q1" s="131" t="s">
        <v>4</v>
      </c>
      <c r="R1" s="131"/>
      <c r="S1" s="131"/>
      <c r="T1" s="131"/>
      <c r="U1" s="131"/>
      <c r="V1" s="131"/>
      <c r="W1" s="131"/>
      <c r="X1" s="131"/>
      <c r="Y1" s="83"/>
      <c r="Z1" s="131" t="s">
        <v>5</v>
      </c>
      <c r="AA1" s="131"/>
      <c r="AB1" s="131"/>
      <c r="AC1" s="131"/>
      <c r="AD1" s="131"/>
      <c r="AE1" s="131"/>
      <c r="AF1" s="84"/>
      <c r="AG1" s="84"/>
      <c r="AH1" s="131" t="s">
        <v>151</v>
      </c>
      <c r="AI1" s="131"/>
      <c r="AJ1" s="131"/>
      <c r="AK1" s="92"/>
    </row>
    <row r="2" spans="1:37" ht="61.5" customHeight="1" x14ac:dyDescent="0.3">
      <c r="A2" s="92"/>
      <c r="B2" s="70" t="s">
        <v>8</v>
      </c>
      <c r="C2" s="70" t="s">
        <v>2</v>
      </c>
      <c r="D2" s="70" t="s">
        <v>0</v>
      </c>
      <c r="E2" s="71" t="s">
        <v>1</v>
      </c>
      <c r="F2" s="70" t="s">
        <v>263</v>
      </c>
      <c r="G2" s="72"/>
      <c r="H2" s="73" t="s">
        <v>92</v>
      </c>
      <c r="I2" s="71" t="s">
        <v>304</v>
      </c>
      <c r="J2" s="71" t="s">
        <v>308</v>
      </c>
      <c r="K2" s="70" t="s">
        <v>318</v>
      </c>
      <c r="L2" s="70" t="s">
        <v>319</v>
      </c>
      <c r="M2" s="70" t="s">
        <v>77</v>
      </c>
      <c r="N2" s="70" t="s">
        <v>75</v>
      </c>
      <c r="O2" s="70" t="s">
        <v>324</v>
      </c>
      <c r="P2" s="74" t="s">
        <v>320</v>
      </c>
      <c r="Q2" s="74" t="s">
        <v>76</v>
      </c>
      <c r="R2" s="74" t="s">
        <v>80</v>
      </c>
      <c r="S2" s="74" t="s">
        <v>84</v>
      </c>
      <c r="T2" s="74" t="s">
        <v>81</v>
      </c>
      <c r="U2" s="74" t="s">
        <v>83</v>
      </c>
      <c r="V2" s="74" t="s">
        <v>325</v>
      </c>
      <c r="W2" s="74" t="s">
        <v>85</v>
      </c>
      <c r="X2" s="74" t="s">
        <v>95</v>
      </c>
      <c r="Y2" s="74" t="s">
        <v>86</v>
      </c>
      <c r="Z2" s="74" t="s">
        <v>97</v>
      </c>
      <c r="AA2" s="74" t="s">
        <v>96</v>
      </c>
      <c r="AB2" s="74" t="s">
        <v>89</v>
      </c>
      <c r="AC2" s="74" t="s">
        <v>305</v>
      </c>
      <c r="AD2" s="74" t="s">
        <v>91</v>
      </c>
      <c r="AE2" s="74" t="s">
        <v>94</v>
      </c>
      <c r="AF2" s="75" t="s">
        <v>93</v>
      </c>
      <c r="AG2" s="85" t="s">
        <v>6</v>
      </c>
      <c r="AH2" s="75" t="s">
        <v>152</v>
      </c>
      <c r="AI2" s="75" t="s">
        <v>153</v>
      </c>
      <c r="AJ2" s="74" t="s">
        <v>155</v>
      </c>
      <c r="AK2" s="92"/>
    </row>
    <row r="3" spans="1:37" ht="15.6" x14ac:dyDescent="0.3">
      <c r="A3" s="92"/>
      <c r="B3" s="90">
        <v>0</v>
      </c>
      <c r="C3" s="91" t="s">
        <v>322</v>
      </c>
      <c r="D3" s="90"/>
      <c r="E3" s="8"/>
      <c r="F3" s="11"/>
      <c r="G3" s="11"/>
      <c r="H3" s="11"/>
      <c r="I3" s="87"/>
      <c r="J3" s="87"/>
      <c r="K3" s="11"/>
      <c r="L3" s="11"/>
      <c r="M3" s="11"/>
      <c r="N3" s="11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8"/>
      <c r="AB3" s="55"/>
      <c r="AC3" s="55"/>
      <c r="AD3" s="55"/>
      <c r="AE3" s="55"/>
      <c r="AF3" s="55"/>
      <c r="AG3" s="57"/>
      <c r="AH3" s="12" t="s">
        <v>156</v>
      </c>
      <c r="AI3" s="12" t="s">
        <v>206</v>
      </c>
      <c r="AJ3" s="3">
        <v>10000000001</v>
      </c>
      <c r="AK3" s="4"/>
    </row>
    <row r="4" spans="1:37" ht="15.6" x14ac:dyDescent="0.3">
      <c r="A4" s="92"/>
      <c r="B4" s="88">
        <v>1</v>
      </c>
      <c r="C4" s="76" t="s">
        <v>31</v>
      </c>
      <c r="D4" s="88" t="s">
        <v>10</v>
      </c>
      <c r="E4" s="88" t="s">
        <v>57</v>
      </c>
      <c r="F4" s="76" t="s">
        <v>264</v>
      </c>
      <c r="G4" s="76" t="s">
        <v>78</v>
      </c>
      <c r="H4" s="76" t="s">
        <v>269</v>
      </c>
      <c r="I4" s="89" t="s">
        <v>7</v>
      </c>
      <c r="J4" s="89">
        <v>2021</v>
      </c>
      <c r="K4" s="76">
        <v>26</v>
      </c>
      <c r="L4" s="76">
        <v>2</v>
      </c>
      <c r="M4" s="76">
        <v>5</v>
      </c>
      <c r="N4" s="76">
        <v>23</v>
      </c>
      <c r="O4" s="77">
        <v>25000</v>
      </c>
      <c r="P4" s="77">
        <v>13269.23076923077</v>
      </c>
      <c r="Q4" s="77">
        <v>5869.0828402366869</v>
      </c>
      <c r="R4" s="77">
        <v>1200</v>
      </c>
      <c r="S4" s="77">
        <v>1061.5384615384614</v>
      </c>
      <c r="T4" s="77">
        <v>1250</v>
      </c>
      <c r="U4" s="77">
        <v>1105.7692307692309</v>
      </c>
      <c r="V4" s="77">
        <v>3411.6863905325445</v>
      </c>
      <c r="W4" s="77">
        <v>3018.0302685480201</v>
      </c>
      <c r="X4" s="77">
        <v>11054.420801092399</v>
      </c>
      <c r="Y4" s="77">
        <v>24323.651570323171</v>
      </c>
      <c r="Z4" s="77">
        <v>200</v>
      </c>
      <c r="AA4" s="78">
        <v>0.1</v>
      </c>
      <c r="AB4" s="77">
        <v>0</v>
      </c>
      <c r="AC4" s="77">
        <v>2918.8381884387804</v>
      </c>
      <c r="AD4" s="77">
        <v>5000</v>
      </c>
      <c r="AE4" s="77">
        <v>8118.83818843878</v>
      </c>
      <c r="AF4" s="77">
        <v>500</v>
      </c>
      <c r="AG4" s="79">
        <v>16704.813381884393</v>
      </c>
      <c r="AH4" s="80" t="s">
        <v>156</v>
      </c>
      <c r="AI4" s="80" t="s">
        <v>206</v>
      </c>
      <c r="AJ4" s="81">
        <v>10000000001</v>
      </c>
      <c r="AK4" s="92"/>
    </row>
    <row r="5" spans="1:37" ht="15.6" x14ac:dyDescent="0.3">
      <c r="A5" s="92"/>
      <c r="B5" s="88">
        <v>2</v>
      </c>
      <c r="C5" s="76" t="s">
        <v>32</v>
      </c>
      <c r="D5" s="88" t="s">
        <v>11</v>
      </c>
      <c r="E5" s="88" t="s">
        <v>58</v>
      </c>
      <c r="F5" s="76" t="s">
        <v>265</v>
      </c>
      <c r="G5" s="76" t="s">
        <v>78</v>
      </c>
      <c r="H5" s="76" t="s">
        <v>269</v>
      </c>
      <c r="I5" s="89" t="s">
        <v>7</v>
      </c>
      <c r="J5" s="89">
        <v>2021</v>
      </c>
      <c r="K5" s="76">
        <v>26</v>
      </c>
      <c r="L5" s="76">
        <v>2</v>
      </c>
      <c r="M5" s="76">
        <v>1</v>
      </c>
      <c r="N5" s="76">
        <v>26</v>
      </c>
      <c r="O5" s="77">
        <v>15000</v>
      </c>
      <c r="P5" s="77">
        <v>9000</v>
      </c>
      <c r="Q5" s="77">
        <v>4500</v>
      </c>
      <c r="R5" s="77">
        <v>1200</v>
      </c>
      <c r="S5" s="77">
        <v>1200</v>
      </c>
      <c r="T5" s="77">
        <v>1000</v>
      </c>
      <c r="U5" s="77">
        <v>1000</v>
      </c>
      <c r="V5" s="77">
        <v>-700</v>
      </c>
      <c r="W5" s="77">
        <v>-700</v>
      </c>
      <c r="X5" s="77">
        <v>6000</v>
      </c>
      <c r="Y5" s="77">
        <v>15000</v>
      </c>
      <c r="Z5" s="77">
        <v>0</v>
      </c>
      <c r="AA5" s="78">
        <v>0.1</v>
      </c>
      <c r="AB5" s="77">
        <v>0</v>
      </c>
      <c r="AC5" s="77">
        <v>1800</v>
      </c>
      <c r="AD5" s="77">
        <v>0</v>
      </c>
      <c r="AE5" s="77">
        <v>1800</v>
      </c>
      <c r="AF5" s="77">
        <v>500</v>
      </c>
      <c r="AG5" s="79">
        <v>13700</v>
      </c>
      <c r="AH5" s="80" t="s">
        <v>157</v>
      </c>
      <c r="AI5" s="80" t="s">
        <v>207</v>
      </c>
      <c r="AJ5" s="81">
        <v>10000000002</v>
      </c>
      <c r="AK5" s="92"/>
    </row>
    <row r="6" spans="1:37" ht="15.6" x14ac:dyDescent="0.3">
      <c r="A6" s="92"/>
      <c r="B6" s="88">
        <v>3</v>
      </c>
      <c r="C6" s="76" t="s">
        <v>33</v>
      </c>
      <c r="D6" s="88" t="s">
        <v>12</v>
      </c>
      <c r="E6" s="88" t="s">
        <v>59</v>
      </c>
      <c r="F6" s="76" t="s">
        <v>266</v>
      </c>
      <c r="G6" s="76" t="s">
        <v>78</v>
      </c>
      <c r="H6" s="76" t="s">
        <v>276</v>
      </c>
      <c r="I6" s="89" t="s">
        <v>7</v>
      </c>
      <c r="J6" s="89">
        <v>2021</v>
      </c>
      <c r="K6" s="76">
        <v>26</v>
      </c>
      <c r="L6" s="76">
        <v>2</v>
      </c>
      <c r="M6" s="76">
        <v>2</v>
      </c>
      <c r="N6" s="76">
        <v>26</v>
      </c>
      <c r="O6" s="77">
        <v>18000</v>
      </c>
      <c r="P6" s="77">
        <v>10800</v>
      </c>
      <c r="Q6" s="77">
        <v>5400</v>
      </c>
      <c r="R6" s="77">
        <v>1600</v>
      </c>
      <c r="S6" s="77">
        <v>1600</v>
      </c>
      <c r="T6" s="77">
        <v>1000</v>
      </c>
      <c r="U6" s="77">
        <v>1000</v>
      </c>
      <c r="V6" s="77">
        <v>-800</v>
      </c>
      <c r="W6" s="77">
        <v>-800</v>
      </c>
      <c r="X6" s="77">
        <v>7200</v>
      </c>
      <c r="Y6" s="77">
        <v>18000</v>
      </c>
      <c r="Z6" s="77">
        <v>150</v>
      </c>
      <c r="AA6" s="78">
        <v>0.1</v>
      </c>
      <c r="AB6" s="77">
        <v>0</v>
      </c>
      <c r="AC6" s="77">
        <v>2160</v>
      </c>
      <c r="AD6" s="77">
        <v>0</v>
      </c>
      <c r="AE6" s="77">
        <v>2310</v>
      </c>
      <c r="AF6" s="77">
        <v>500</v>
      </c>
      <c r="AG6" s="79">
        <v>16190</v>
      </c>
      <c r="AH6" s="80" t="s">
        <v>158</v>
      </c>
      <c r="AI6" s="80" t="s">
        <v>208</v>
      </c>
      <c r="AJ6" s="81">
        <v>10000000003</v>
      </c>
      <c r="AK6" s="92"/>
    </row>
    <row r="7" spans="1:37" ht="15.6" x14ac:dyDescent="0.3">
      <c r="A7" s="92"/>
      <c r="B7" s="88">
        <v>4</v>
      </c>
      <c r="C7" s="76" t="s">
        <v>34</v>
      </c>
      <c r="D7" s="88" t="s">
        <v>13</v>
      </c>
      <c r="E7" s="88" t="s">
        <v>58</v>
      </c>
      <c r="F7" s="76" t="s">
        <v>267</v>
      </c>
      <c r="G7" s="76" t="s">
        <v>78</v>
      </c>
      <c r="H7" s="76" t="s">
        <v>269</v>
      </c>
      <c r="I7" s="89" t="s">
        <v>7</v>
      </c>
      <c r="J7" s="89">
        <v>2021</v>
      </c>
      <c r="K7" s="76">
        <v>26</v>
      </c>
      <c r="L7" s="76">
        <v>2</v>
      </c>
      <c r="M7" s="76">
        <v>0</v>
      </c>
      <c r="N7" s="76">
        <v>26</v>
      </c>
      <c r="O7" s="77">
        <v>14500</v>
      </c>
      <c r="P7" s="77">
        <v>8700</v>
      </c>
      <c r="Q7" s="77">
        <v>4350</v>
      </c>
      <c r="R7" s="77">
        <v>1200</v>
      </c>
      <c r="S7" s="77">
        <v>1200</v>
      </c>
      <c r="T7" s="77">
        <v>800</v>
      </c>
      <c r="U7" s="77">
        <v>800</v>
      </c>
      <c r="V7" s="77">
        <v>-550</v>
      </c>
      <c r="W7" s="77">
        <v>-550</v>
      </c>
      <c r="X7" s="77">
        <v>5800</v>
      </c>
      <c r="Y7" s="77">
        <v>14500</v>
      </c>
      <c r="Z7" s="77">
        <v>0</v>
      </c>
      <c r="AA7" s="78">
        <v>0.1</v>
      </c>
      <c r="AB7" s="77">
        <v>0</v>
      </c>
      <c r="AC7" s="77">
        <v>1800</v>
      </c>
      <c r="AD7" s="77">
        <v>0</v>
      </c>
      <c r="AE7" s="77">
        <v>1800</v>
      </c>
      <c r="AF7" s="77">
        <v>500</v>
      </c>
      <c r="AG7" s="79">
        <v>13200</v>
      </c>
      <c r="AH7" s="80" t="s">
        <v>159</v>
      </c>
      <c r="AI7" s="80" t="s">
        <v>209</v>
      </c>
      <c r="AJ7" s="81">
        <v>10000000004</v>
      </c>
      <c r="AK7" s="92"/>
    </row>
    <row r="8" spans="1:37" ht="15.6" x14ac:dyDescent="0.3">
      <c r="A8" s="92"/>
      <c r="B8" s="88">
        <v>5</v>
      </c>
      <c r="C8" s="76" t="s">
        <v>35</v>
      </c>
      <c r="D8" s="88" t="s">
        <v>14</v>
      </c>
      <c r="E8" s="88" t="s">
        <v>51</v>
      </c>
      <c r="F8" s="76" t="s">
        <v>268</v>
      </c>
      <c r="G8" s="76" t="s">
        <v>78</v>
      </c>
      <c r="H8" s="76" t="s">
        <v>269</v>
      </c>
      <c r="I8" s="89" t="s">
        <v>7</v>
      </c>
      <c r="J8" s="89">
        <v>2021</v>
      </c>
      <c r="K8" s="76">
        <v>26</v>
      </c>
      <c r="L8" s="76">
        <v>2</v>
      </c>
      <c r="M8" s="76">
        <v>2</v>
      </c>
      <c r="N8" s="76">
        <v>26</v>
      </c>
      <c r="O8" s="77">
        <v>15200</v>
      </c>
      <c r="P8" s="77">
        <v>9120</v>
      </c>
      <c r="Q8" s="77">
        <v>4560</v>
      </c>
      <c r="R8" s="77">
        <v>1000</v>
      </c>
      <c r="S8" s="77">
        <v>1000</v>
      </c>
      <c r="T8" s="77">
        <v>1200</v>
      </c>
      <c r="U8" s="77">
        <v>1200</v>
      </c>
      <c r="V8" s="77">
        <v>-680</v>
      </c>
      <c r="W8" s="77">
        <v>-680</v>
      </c>
      <c r="X8" s="77">
        <v>6080</v>
      </c>
      <c r="Y8" s="77">
        <v>15200</v>
      </c>
      <c r="Z8" s="77">
        <v>150</v>
      </c>
      <c r="AA8" s="78">
        <v>0.1</v>
      </c>
      <c r="AB8" s="77">
        <v>0</v>
      </c>
      <c r="AC8" s="77">
        <v>1824</v>
      </c>
      <c r="AD8" s="77">
        <v>0</v>
      </c>
      <c r="AE8" s="77">
        <v>1974</v>
      </c>
      <c r="AF8" s="77">
        <v>500</v>
      </c>
      <c r="AG8" s="79">
        <v>13726</v>
      </c>
      <c r="AH8" s="80" t="s">
        <v>160</v>
      </c>
      <c r="AI8" s="80" t="s">
        <v>210</v>
      </c>
      <c r="AJ8" s="81">
        <v>10000000005</v>
      </c>
      <c r="AK8" s="92"/>
    </row>
    <row r="9" spans="1:37" ht="15.6" x14ac:dyDescent="0.3">
      <c r="A9" s="92"/>
      <c r="B9" s="88">
        <v>6</v>
      </c>
      <c r="C9" s="76" t="s">
        <v>36</v>
      </c>
      <c r="D9" s="88" t="s">
        <v>16</v>
      </c>
      <c r="E9" s="88" t="s">
        <v>57</v>
      </c>
      <c r="F9" s="76" t="s">
        <v>269</v>
      </c>
      <c r="G9" s="76" t="s">
        <v>79</v>
      </c>
      <c r="H9" s="76" t="s">
        <v>276</v>
      </c>
      <c r="I9" s="89" t="s">
        <v>7</v>
      </c>
      <c r="J9" s="89">
        <v>2021</v>
      </c>
      <c r="K9" s="76">
        <v>26</v>
      </c>
      <c r="L9" s="76">
        <v>2</v>
      </c>
      <c r="M9" s="76">
        <v>1</v>
      </c>
      <c r="N9" s="76">
        <v>26</v>
      </c>
      <c r="O9" s="77">
        <v>18000</v>
      </c>
      <c r="P9" s="77">
        <v>10800</v>
      </c>
      <c r="Q9" s="77">
        <v>4320</v>
      </c>
      <c r="R9" s="77">
        <v>1600</v>
      </c>
      <c r="S9" s="77">
        <v>1600</v>
      </c>
      <c r="T9" s="77">
        <v>1250</v>
      </c>
      <c r="U9" s="77">
        <v>1250</v>
      </c>
      <c r="V9" s="77">
        <v>30</v>
      </c>
      <c r="W9" s="77">
        <v>29.999999999999996</v>
      </c>
      <c r="X9" s="77">
        <v>7200</v>
      </c>
      <c r="Y9" s="77">
        <v>18000</v>
      </c>
      <c r="Z9" s="77">
        <v>150</v>
      </c>
      <c r="AA9" s="78">
        <v>0.1</v>
      </c>
      <c r="AB9" s="77">
        <v>0</v>
      </c>
      <c r="AC9" s="77">
        <v>2160</v>
      </c>
      <c r="AD9" s="77">
        <v>0</v>
      </c>
      <c r="AE9" s="77">
        <v>2310</v>
      </c>
      <c r="AF9" s="77">
        <v>500</v>
      </c>
      <c r="AG9" s="79">
        <v>16190</v>
      </c>
      <c r="AH9" s="80" t="s">
        <v>161</v>
      </c>
      <c r="AI9" s="80" t="s">
        <v>211</v>
      </c>
      <c r="AJ9" s="81">
        <v>10000000006</v>
      </c>
      <c r="AK9" s="92"/>
    </row>
    <row r="10" spans="1:37" ht="15.6" x14ac:dyDescent="0.3">
      <c r="A10" s="92"/>
      <c r="B10" s="88">
        <v>7</v>
      </c>
      <c r="C10" s="76" t="s">
        <v>37</v>
      </c>
      <c r="D10" s="88" t="s">
        <v>15</v>
      </c>
      <c r="E10" s="88" t="s">
        <v>53</v>
      </c>
      <c r="F10" s="76" t="s">
        <v>270</v>
      </c>
      <c r="G10" s="76" t="s">
        <v>79</v>
      </c>
      <c r="H10" s="76" t="s">
        <v>276</v>
      </c>
      <c r="I10" s="89" t="s">
        <v>7</v>
      </c>
      <c r="J10" s="89">
        <v>2021</v>
      </c>
      <c r="K10" s="76">
        <v>26</v>
      </c>
      <c r="L10" s="76">
        <v>2</v>
      </c>
      <c r="M10" s="76">
        <v>2</v>
      </c>
      <c r="N10" s="76">
        <v>26</v>
      </c>
      <c r="O10" s="77">
        <v>50000</v>
      </c>
      <c r="P10" s="77">
        <v>30000</v>
      </c>
      <c r="Q10" s="77">
        <v>12000</v>
      </c>
      <c r="R10" s="77">
        <v>1600</v>
      </c>
      <c r="S10" s="77">
        <v>1600</v>
      </c>
      <c r="T10" s="77">
        <v>1250</v>
      </c>
      <c r="U10" s="77">
        <v>1250</v>
      </c>
      <c r="V10" s="77">
        <v>5150</v>
      </c>
      <c r="W10" s="77">
        <v>5150</v>
      </c>
      <c r="X10" s="77">
        <v>20000</v>
      </c>
      <c r="Y10" s="77">
        <v>50000</v>
      </c>
      <c r="Z10" s="77">
        <v>200</v>
      </c>
      <c r="AA10" s="78">
        <v>0.1</v>
      </c>
      <c r="AB10" s="77">
        <v>5000</v>
      </c>
      <c r="AC10" s="77">
        <v>6000</v>
      </c>
      <c r="AD10" s="77">
        <v>0</v>
      </c>
      <c r="AE10" s="77">
        <v>11200</v>
      </c>
      <c r="AF10" s="77">
        <v>500</v>
      </c>
      <c r="AG10" s="79">
        <v>39300</v>
      </c>
      <c r="AH10" s="80" t="s">
        <v>162</v>
      </c>
      <c r="AI10" s="80" t="s">
        <v>212</v>
      </c>
      <c r="AJ10" s="81">
        <v>10000000007</v>
      </c>
      <c r="AK10" s="92"/>
    </row>
    <row r="11" spans="1:37" ht="15.6" x14ac:dyDescent="0.3">
      <c r="A11" s="92"/>
      <c r="B11" s="88">
        <v>8</v>
      </c>
      <c r="C11" s="76" t="s">
        <v>38</v>
      </c>
      <c r="D11" s="88" t="s">
        <v>17</v>
      </c>
      <c r="E11" s="88" t="s">
        <v>52</v>
      </c>
      <c r="F11" s="76" t="s">
        <v>271</v>
      </c>
      <c r="G11" s="76" t="s">
        <v>79</v>
      </c>
      <c r="H11" s="76" t="s">
        <v>276</v>
      </c>
      <c r="I11" s="89" t="s">
        <v>7</v>
      </c>
      <c r="J11" s="89">
        <v>2021</v>
      </c>
      <c r="K11" s="76">
        <v>26</v>
      </c>
      <c r="L11" s="76">
        <v>2</v>
      </c>
      <c r="M11" s="76">
        <v>1</v>
      </c>
      <c r="N11" s="76">
        <v>26</v>
      </c>
      <c r="O11" s="77">
        <v>35000</v>
      </c>
      <c r="P11" s="77">
        <v>21000</v>
      </c>
      <c r="Q11" s="77">
        <v>8400</v>
      </c>
      <c r="R11" s="77">
        <v>1600</v>
      </c>
      <c r="S11" s="77">
        <v>1600</v>
      </c>
      <c r="T11" s="77">
        <v>1000</v>
      </c>
      <c r="U11" s="77">
        <v>1000</v>
      </c>
      <c r="V11" s="77">
        <v>3000</v>
      </c>
      <c r="W11" s="77">
        <v>3000</v>
      </c>
      <c r="X11" s="77">
        <v>14000</v>
      </c>
      <c r="Y11" s="77">
        <v>35000</v>
      </c>
      <c r="Z11" s="77">
        <v>200</v>
      </c>
      <c r="AA11" s="78">
        <v>0.1</v>
      </c>
      <c r="AB11" s="77">
        <v>0</v>
      </c>
      <c r="AC11" s="77">
        <v>4200</v>
      </c>
      <c r="AD11" s="77">
        <v>2000</v>
      </c>
      <c r="AE11" s="77">
        <v>6400</v>
      </c>
      <c r="AF11" s="77">
        <v>500</v>
      </c>
      <c r="AG11" s="79">
        <v>29100</v>
      </c>
      <c r="AH11" s="80" t="s">
        <v>163</v>
      </c>
      <c r="AI11" s="80" t="s">
        <v>213</v>
      </c>
      <c r="AJ11" s="81">
        <v>10000000008</v>
      </c>
      <c r="AK11" s="92"/>
    </row>
    <row r="12" spans="1:37" ht="15.6" x14ac:dyDescent="0.3">
      <c r="A12" s="92"/>
      <c r="B12" s="88">
        <v>9</v>
      </c>
      <c r="C12" s="76" t="s">
        <v>39</v>
      </c>
      <c r="D12" s="88" t="s">
        <v>18</v>
      </c>
      <c r="E12" s="88" t="s">
        <v>58</v>
      </c>
      <c r="F12" s="76" t="s">
        <v>272</v>
      </c>
      <c r="G12" s="76" t="s">
        <v>78</v>
      </c>
      <c r="H12" s="76" t="s">
        <v>276</v>
      </c>
      <c r="I12" s="89" t="s">
        <v>7</v>
      </c>
      <c r="J12" s="89">
        <v>2021</v>
      </c>
      <c r="K12" s="76">
        <v>26</v>
      </c>
      <c r="L12" s="76">
        <v>2</v>
      </c>
      <c r="M12" s="76">
        <v>2</v>
      </c>
      <c r="N12" s="76">
        <v>26</v>
      </c>
      <c r="O12" s="77">
        <v>15000</v>
      </c>
      <c r="P12" s="77">
        <v>9000</v>
      </c>
      <c r="Q12" s="77">
        <v>4500</v>
      </c>
      <c r="R12" s="77">
        <v>1600</v>
      </c>
      <c r="S12" s="77">
        <v>1600</v>
      </c>
      <c r="T12" s="77">
        <v>1000</v>
      </c>
      <c r="U12" s="77">
        <v>1000</v>
      </c>
      <c r="V12" s="77">
        <v>-1100</v>
      </c>
      <c r="W12" s="77">
        <v>-1100</v>
      </c>
      <c r="X12" s="77">
        <v>6000</v>
      </c>
      <c r="Y12" s="77">
        <v>15000</v>
      </c>
      <c r="Z12" s="77">
        <v>150</v>
      </c>
      <c r="AA12" s="78">
        <v>0.1</v>
      </c>
      <c r="AB12" s="77">
        <v>0</v>
      </c>
      <c r="AC12" s="77">
        <v>1800</v>
      </c>
      <c r="AD12" s="77">
        <v>1500</v>
      </c>
      <c r="AE12" s="77">
        <v>3450</v>
      </c>
      <c r="AF12" s="77">
        <v>500</v>
      </c>
      <c r="AG12" s="79">
        <v>12050</v>
      </c>
      <c r="AH12" s="80" t="s">
        <v>164</v>
      </c>
      <c r="AI12" s="80" t="s">
        <v>214</v>
      </c>
      <c r="AJ12" s="81">
        <v>10000000009</v>
      </c>
      <c r="AK12" s="92"/>
    </row>
    <row r="13" spans="1:37" ht="15.6" x14ac:dyDescent="0.3">
      <c r="A13" s="92"/>
      <c r="B13" s="88">
        <v>10</v>
      </c>
      <c r="C13" s="76" t="s">
        <v>40</v>
      </c>
      <c r="D13" s="88" t="s">
        <v>19</v>
      </c>
      <c r="E13" s="88" t="s">
        <v>67</v>
      </c>
      <c r="F13" s="76" t="s">
        <v>273</v>
      </c>
      <c r="G13" s="76" t="s">
        <v>78</v>
      </c>
      <c r="H13" s="76" t="s">
        <v>276</v>
      </c>
      <c r="I13" s="89" t="s">
        <v>7</v>
      </c>
      <c r="J13" s="89">
        <v>2021</v>
      </c>
      <c r="K13" s="76">
        <v>26</v>
      </c>
      <c r="L13" s="76">
        <v>2</v>
      </c>
      <c r="M13" s="76">
        <v>0</v>
      </c>
      <c r="N13" s="76">
        <v>26</v>
      </c>
      <c r="O13" s="77">
        <v>13500</v>
      </c>
      <c r="P13" s="77">
        <v>8100.0000000000009</v>
      </c>
      <c r="Q13" s="77">
        <v>4050</v>
      </c>
      <c r="R13" s="77">
        <v>1600</v>
      </c>
      <c r="S13" s="77">
        <v>1600</v>
      </c>
      <c r="T13" s="77">
        <v>800</v>
      </c>
      <c r="U13" s="77">
        <v>800</v>
      </c>
      <c r="V13" s="77">
        <v>-1050</v>
      </c>
      <c r="W13" s="77">
        <v>-1050</v>
      </c>
      <c r="X13" s="77">
        <v>5400</v>
      </c>
      <c r="Y13" s="77">
        <v>13500</v>
      </c>
      <c r="Z13" s="77">
        <v>0</v>
      </c>
      <c r="AA13" s="78">
        <v>0.1</v>
      </c>
      <c r="AB13" s="77">
        <v>0</v>
      </c>
      <c r="AC13" s="77">
        <v>1800</v>
      </c>
      <c r="AD13" s="77">
        <v>5000</v>
      </c>
      <c r="AE13" s="77">
        <v>6800</v>
      </c>
      <c r="AF13" s="77">
        <v>500</v>
      </c>
      <c r="AG13" s="79">
        <v>7200</v>
      </c>
      <c r="AH13" s="80" t="s">
        <v>165</v>
      </c>
      <c r="AI13" s="80" t="s">
        <v>215</v>
      </c>
      <c r="AJ13" s="81">
        <v>10000000010</v>
      </c>
      <c r="AK13" s="92"/>
    </row>
    <row r="14" spans="1:37" ht="15.6" x14ac:dyDescent="0.3">
      <c r="A14" s="92"/>
      <c r="B14" s="88">
        <v>11</v>
      </c>
      <c r="C14" s="76" t="s">
        <v>41</v>
      </c>
      <c r="D14" s="88" t="s">
        <v>20</v>
      </c>
      <c r="E14" s="88" t="s">
        <v>54</v>
      </c>
      <c r="F14" s="76" t="s">
        <v>274</v>
      </c>
      <c r="G14" s="76" t="s">
        <v>78</v>
      </c>
      <c r="H14" s="76" t="s">
        <v>276</v>
      </c>
      <c r="I14" s="89" t="s">
        <v>7</v>
      </c>
      <c r="J14" s="89">
        <v>2021</v>
      </c>
      <c r="K14" s="76">
        <v>26</v>
      </c>
      <c r="L14" s="76">
        <v>2</v>
      </c>
      <c r="M14" s="76">
        <v>1</v>
      </c>
      <c r="N14" s="76">
        <v>26</v>
      </c>
      <c r="O14" s="77">
        <v>28000</v>
      </c>
      <c r="P14" s="77">
        <v>16800</v>
      </c>
      <c r="Q14" s="77">
        <v>8400</v>
      </c>
      <c r="R14" s="77">
        <v>1600</v>
      </c>
      <c r="S14" s="77">
        <v>1600</v>
      </c>
      <c r="T14" s="77">
        <v>1200</v>
      </c>
      <c r="U14" s="77">
        <v>1200</v>
      </c>
      <c r="V14" s="77">
        <v>0</v>
      </c>
      <c r="W14" s="77">
        <v>0</v>
      </c>
      <c r="X14" s="77">
        <v>11200</v>
      </c>
      <c r="Y14" s="77">
        <v>28000</v>
      </c>
      <c r="Z14" s="77">
        <v>200</v>
      </c>
      <c r="AA14" s="78">
        <v>0.1</v>
      </c>
      <c r="AB14" s="77">
        <v>0</v>
      </c>
      <c r="AC14" s="77">
        <v>3360</v>
      </c>
      <c r="AD14" s="77">
        <v>3500</v>
      </c>
      <c r="AE14" s="77">
        <v>7060</v>
      </c>
      <c r="AF14" s="77">
        <v>500</v>
      </c>
      <c r="AG14" s="79">
        <v>21440</v>
      </c>
      <c r="AH14" s="80" t="s">
        <v>166</v>
      </c>
      <c r="AI14" s="80" t="s">
        <v>216</v>
      </c>
      <c r="AJ14" s="81">
        <v>10000000011</v>
      </c>
      <c r="AK14" s="92"/>
    </row>
    <row r="15" spans="1:37" ht="15.6" x14ac:dyDescent="0.3">
      <c r="A15" s="92"/>
      <c r="B15" s="88">
        <v>12</v>
      </c>
      <c r="C15" s="76" t="s">
        <v>42</v>
      </c>
      <c r="D15" s="88" t="s">
        <v>21</v>
      </c>
      <c r="E15" s="88" t="s">
        <v>55</v>
      </c>
      <c r="F15" s="76" t="s">
        <v>275</v>
      </c>
      <c r="G15" s="76" t="s">
        <v>78</v>
      </c>
      <c r="H15" s="76" t="s">
        <v>276</v>
      </c>
      <c r="I15" s="89" t="s">
        <v>7</v>
      </c>
      <c r="J15" s="89">
        <v>2021</v>
      </c>
      <c r="K15" s="76">
        <v>26</v>
      </c>
      <c r="L15" s="76">
        <v>2</v>
      </c>
      <c r="M15" s="76">
        <v>1</v>
      </c>
      <c r="N15" s="76">
        <v>26</v>
      </c>
      <c r="O15" s="77">
        <v>10000</v>
      </c>
      <c r="P15" s="77">
        <v>6000</v>
      </c>
      <c r="Q15" s="77">
        <v>3000</v>
      </c>
      <c r="R15" s="77">
        <v>1600</v>
      </c>
      <c r="S15" s="77">
        <v>1600</v>
      </c>
      <c r="T15" s="77">
        <v>1250</v>
      </c>
      <c r="U15" s="77">
        <v>1250</v>
      </c>
      <c r="V15" s="77">
        <v>-1850</v>
      </c>
      <c r="W15" s="77">
        <v>-1850.0000000000002</v>
      </c>
      <c r="X15" s="77">
        <v>4000</v>
      </c>
      <c r="Y15" s="77">
        <v>10000</v>
      </c>
      <c r="Z15" s="77">
        <v>0</v>
      </c>
      <c r="AA15" s="78">
        <v>0.1</v>
      </c>
      <c r="AB15" s="77">
        <v>0</v>
      </c>
      <c r="AC15" s="77">
        <v>1800</v>
      </c>
      <c r="AD15" s="77">
        <v>1500</v>
      </c>
      <c r="AE15" s="77">
        <v>3300</v>
      </c>
      <c r="AF15" s="77">
        <v>500</v>
      </c>
      <c r="AG15" s="79">
        <v>7200</v>
      </c>
      <c r="AH15" s="80" t="s">
        <v>167</v>
      </c>
      <c r="AI15" s="80" t="s">
        <v>217</v>
      </c>
      <c r="AJ15" s="81">
        <v>10000000012</v>
      </c>
      <c r="AK15" s="92"/>
    </row>
    <row r="16" spans="1:37" ht="15.6" x14ac:dyDescent="0.3">
      <c r="A16" s="92"/>
      <c r="B16" s="88">
        <v>13</v>
      </c>
      <c r="C16" s="76" t="s">
        <v>43</v>
      </c>
      <c r="D16" s="88" t="s">
        <v>22</v>
      </c>
      <c r="E16" s="88" t="s">
        <v>56</v>
      </c>
      <c r="F16" s="76" t="s">
        <v>276</v>
      </c>
      <c r="G16" s="76" t="s">
        <v>78</v>
      </c>
      <c r="H16" s="76" t="s">
        <v>276</v>
      </c>
      <c r="I16" s="89" t="s">
        <v>7</v>
      </c>
      <c r="J16" s="89">
        <v>2021</v>
      </c>
      <c r="K16" s="76">
        <v>26</v>
      </c>
      <c r="L16" s="76">
        <v>2</v>
      </c>
      <c r="M16" s="76">
        <v>2</v>
      </c>
      <c r="N16" s="76">
        <v>26</v>
      </c>
      <c r="O16" s="77">
        <v>10000</v>
      </c>
      <c r="P16" s="77">
        <v>6000</v>
      </c>
      <c r="Q16" s="77">
        <v>3000</v>
      </c>
      <c r="R16" s="77">
        <v>1600</v>
      </c>
      <c r="S16" s="77">
        <v>1600</v>
      </c>
      <c r="T16" s="77">
        <v>1250</v>
      </c>
      <c r="U16" s="77">
        <v>1250</v>
      </c>
      <c r="V16" s="77">
        <v>-1850</v>
      </c>
      <c r="W16" s="77">
        <v>-1850.0000000000002</v>
      </c>
      <c r="X16" s="77">
        <v>4000</v>
      </c>
      <c r="Y16" s="77">
        <v>10000</v>
      </c>
      <c r="Z16" s="77">
        <v>0</v>
      </c>
      <c r="AA16" s="78">
        <v>0.1</v>
      </c>
      <c r="AB16" s="77">
        <v>0</v>
      </c>
      <c r="AC16" s="77">
        <v>1800</v>
      </c>
      <c r="AD16" s="77">
        <v>0</v>
      </c>
      <c r="AE16" s="77">
        <v>1800</v>
      </c>
      <c r="AF16" s="77">
        <v>500</v>
      </c>
      <c r="AG16" s="79">
        <v>8700</v>
      </c>
      <c r="AH16" s="80" t="s">
        <v>168</v>
      </c>
      <c r="AI16" s="80" t="s">
        <v>218</v>
      </c>
      <c r="AJ16" s="81">
        <v>10000000013</v>
      </c>
      <c r="AK16" s="92"/>
    </row>
    <row r="17" spans="1:37" ht="15.6" x14ac:dyDescent="0.3">
      <c r="A17" s="92"/>
      <c r="B17" s="88">
        <v>14</v>
      </c>
      <c r="C17" s="76" t="s">
        <v>44</v>
      </c>
      <c r="D17" s="88" t="s">
        <v>23</v>
      </c>
      <c r="E17" s="88" t="s">
        <v>58</v>
      </c>
      <c r="F17" s="76" t="s">
        <v>277</v>
      </c>
      <c r="G17" s="76" t="s">
        <v>78</v>
      </c>
      <c r="H17" s="76" t="s">
        <v>269</v>
      </c>
      <c r="I17" s="89" t="s">
        <v>7</v>
      </c>
      <c r="J17" s="89">
        <v>2021</v>
      </c>
      <c r="K17" s="76">
        <v>26</v>
      </c>
      <c r="L17" s="76">
        <v>2</v>
      </c>
      <c r="M17" s="76">
        <v>0</v>
      </c>
      <c r="N17" s="76">
        <v>26</v>
      </c>
      <c r="O17" s="77">
        <v>18000</v>
      </c>
      <c r="P17" s="77">
        <v>10800</v>
      </c>
      <c r="Q17" s="77">
        <v>5400</v>
      </c>
      <c r="R17" s="77">
        <v>1600</v>
      </c>
      <c r="S17" s="77">
        <v>1600</v>
      </c>
      <c r="T17" s="77">
        <v>1000</v>
      </c>
      <c r="U17" s="77">
        <v>1000</v>
      </c>
      <c r="V17" s="77">
        <v>-800</v>
      </c>
      <c r="W17" s="77">
        <v>-800</v>
      </c>
      <c r="X17" s="77">
        <v>7200</v>
      </c>
      <c r="Y17" s="77">
        <v>18000</v>
      </c>
      <c r="Z17" s="77">
        <v>150</v>
      </c>
      <c r="AA17" s="78">
        <v>0.1</v>
      </c>
      <c r="AB17" s="77">
        <v>0</v>
      </c>
      <c r="AC17" s="77">
        <v>2160</v>
      </c>
      <c r="AD17" s="77">
        <v>0</v>
      </c>
      <c r="AE17" s="77">
        <v>2310</v>
      </c>
      <c r="AF17" s="77">
        <v>500</v>
      </c>
      <c r="AG17" s="79">
        <v>16190</v>
      </c>
      <c r="AH17" s="80" t="s">
        <v>169</v>
      </c>
      <c r="AI17" s="80" t="s">
        <v>219</v>
      </c>
      <c r="AJ17" s="81">
        <v>10000000014</v>
      </c>
      <c r="AK17" s="92"/>
    </row>
    <row r="18" spans="1:37" ht="15.6" x14ac:dyDescent="0.3">
      <c r="A18" s="92"/>
      <c r="B18" s="88">
        <v>15</v>
      </c>
      <c r="C18" s="76" t="s">
        <v>45</v>
      </c>
      <c r="D18" s="88" t="s">
        <v>24</v>
      </c>
      <c r="E18" s="88" t="s">
        <v>59</v>
      </c>
      <c r="F18" s="76" t="s">
        <v>278</v>
      </c>
      <c r="G18" s="76" t="s">
        <v>78</v>
      </c>
      <c r="H18" s="76" t="s">
        <v>276</v>
      </c>
      <c r="I18" s="89" t="s">
        <v>7</v>
      </c>
      <c r="J18" s="89">
        <v>2021</v>
      </c>
      <c r="K18" s="76">
        <v>26</v>
      </c>
      <c r="L18" s="76">
        <v>2</v>
      </c>
      <c r="M18" s="76">
        <v>1</v>
      </c>
      <c r="N18" s="76">
        <v>26</v>
      </c>
      <c r="O18" s="77">
        <v>26000</v>
      </c>
      <c r="P18" s="77">
        <v>15600</v>
      </c>
      <c r="Q18" s="77">
        <v>7800</v>
      </c>
      <c r="R18" s="77">
        <v>1600</v>
      </c>
      <c r="S18" s="77">
        <v>1600</v>
      </c>
      <c r="T18" s="77">
        <v>1000</v>
      </c>
      <c r="U18" s="77">
        <v>1000</v>
      </c>
      <c r="V18" s="77">
        <v>0</v>
      </c>
      <c r="W18" s="77">
        <v>0</v>
      </c>
      <c r="X18" s="77">
        <v>10400</v>
      </c>
      <c r="Y18" s="77">
        <v>26000</v>
      </c>
      <c r="Z18" s="77">
        <v>200</v>
      </c>
      <c r="AA18" s="78">
        <v>0.1</v>
      </c>
      <c r="AB18" s="77">
        <v>0</v>
      </c>
      <c r="AC18" s="77">
        <v>3120</v>
      </c>
      <c r="AD18" s="77">
        <v>0</v>
      </c>
      <c r="AE18" s="77">
        <v>3320</v>
      </c>
      <c r="AF18" s="77">
        <v>500</v>
      </c>
      <c r="AG18" s="79">
        <v>23180</v>
      </c>
      <c r="AH18" s="80" t="s">
        <v>170</v>
      </c>
      <c r="AI18" s="80" t="s">
        <v>220</v>
      </c>
      <c r="AJ18" s="81">
        <v>10000000015</v>
      </c>
      <c r="AK18" s="92"/>
    </row>
    <row r="19" spans="1:37" ht="15.6" x14ac:dyDescent="0.3">
      <c r="A19" s="92"/>
      <c r="B19" s="88">
        <v>16</v>
      </c>
      <c r="C19" s="76" t="s">
        <v>46</v>
      </c>
      <c r="D19" s="88" t="s">
        <v>25</v>
      </c>
      <c r="E19" s="88" t="s">
        <v>57</v>
      </c>
      <c r="F19" s="76" t="s">
        <v>279</v>
      </c>
      <c r="G19" s="76" t="s">
        <v>78</v>
      </c>
      <c r="H19" s="76" t="s">
        <v>276</v>
      </c>
      <c r="I19" s="89" t="s">
        <v>7</v>
      </c>
      <c r="J19" s="89">
        <v>2021</v>
      </c>
      <c r="K19" s="76">
        <v>26</v>
      </c>
      <c r="L19" s="76">
        <v>2</v>
      </c>
      <c r="M19" s="76">
        <v>1</v>
      </c>
      <c r="N19" s="76">
        <v>26</v>
      </c>
      <c r="O19" s="77">
        <v>22000</v>
      </c>
      <c r="P19" s="77">
        <v>13200</v>
      </c>
      <c r="Q19" s="77">
        <v>6600</v>
      </c>
      <c r="R19" s="77">
        <v>1600</v>
      </c>
      <c r="S19" s="77">
        <v>1600</v>
      </c>
      <c r="T19" s="77">
        <v>800</v>
      </c>
      <c r="U19" s="77">
        <v>800</v>
      </c>
      <c r="V19" s="77">
        <v>-200</v>
      </c>
      <c r="W19" s="77">
        <v>-200</v>
      </c>
      <c r="X19" s="77">
        <v>8800</v>
      </c>
      <c r="Y19" s="77">
        <v>22000</v>
      </c>
      <c r="Z19" s="77">
        <v>200</v>
      </c>
      <c r="AA19" s="78">
        <v>0.1</v>
      </c>
      <c r="AB19" s="77">
        <v>0</v>
      </c>
      <c r="AC19" s="77">
        <v>2640</v>
      </c>
      <c r="AD19" s="77">
        <v>0</v>
      </c>
      <c r="AE19" s="77">
        <v>2840</v>
      </c>
      <c r="AF19" s="77">
        <v>500</v>
      </c>
      <c r="AG19" s="79">
        <v>19660</v>
      </c>
      <c r="AH19" s="80" t="s">
        <v>171</v>
      </c>
      <c r="AI19" s="80" t="s">
        <v>221</v>
      </c>
      <c r="AJ19" s="81">
        <v>10000000016</v>
      </c>
      <c r="AK19" s="92"/>
    </row>
    <row r="20" spans="1:37" ht="15.6" x14ac:dyDescent="0.3">
      <c r="A20" s="92"/>
      <c r="B20" s="88">
        <v>17</v>
      </c>
      <c r="C20" s="76" t="s">
        <v>47</v>
      </c>
      <c r="D20" s="88" t="s">
        <v>26</v>
      </c>
      <c r="E20" s="88" t="s">
        <v>58</v>
      </c>
      <c r="F20" s="76" t="s">
        <v>280</v>
      </c>
      <c r="G20" s="76" t="s">
        <v>78</v>
      </c>
      <c r="H20" s="76" t="s">
        <v>276</v>
      </c>
      <c r="I20" s="89" t="s">
        <v>7</v>
      </c>
      <c r="J20" s="89">
        <v>2021</v>
      </c>
      <c r="K20" s="76">
        <v>26</v>
      </c>
      <c r="L20" s="76">
        <v>2</v>
      </c>
      <c r="M20" s="76">
        <v>0</v>
      </c>
      <c r="N20" s="76">
        <v>26</v>
      </c>
      <c r="O20" s="77">
        <v>25000</v>
      </c>
      <c r="P20" s="77">
        <v>15000</v>
      </c>
      <c r="Q20" s="77">
        <v>7500</v>
      </c>
      <c r="R20" s="77">
        <v>1600</v>
      </c>
      <c r="S20" s="77">
        <v>1600</v>
      </c>
      <c r="T20" s="77">
        <v>1200</v>
      </c>
      <c r="U20" s="77">
        <v>1200</v>
      </c>
      <c r="V20" s="77">
        <v>-300</v>
      </c>
      <c r="W20" s="77">
        <v>-300</v>
      </c>
      <c r="X20" s="77">
        <v>10000</v>
      </c>
      <c r="Y20" s="77">
        <v>25000</v>
      </c>
      <c r="Z20" s="77">
        <v>200</v>
      </c>
      <c r="AA20" s="78">
        <v>0.1</v>
      </c>
      <c r="AB20" s="77">
        <v>0</v>
      </c>
      <c r="AC20" s="77">
        <v>3000</v>
      </c>
      <c r="AD20" s="77">
        <v>0</v>
      </c>
      <c r="AE20" s="77">
        <v>3200</v>
      </c>
      <c r="AF20" s="77">
        <v>500</v>
      </c>
      <c r="AG20" s="79">
        <v>22300</v>
      </c>
      <c r="AH20" s="80" t="s">
        <v>172</v>
      </c>
      <c r="AI20" s="80" t="s">
        <v>222</v>
      </c>
      <c r="AJ20" s="81">
        <v>10000000017</v>
      </c>
      <c r="AK20" s="92"/>
    </row>
    <row r="21" spans="1:37" ht="15.6" x14ac:dyDescent="0.3">
      <c r="A21" s="92"/>
      <c r="B21" s="88">
        <v>18</v>
      </c>
      <c r="C21" s="76" t="s">
        <v>48</v>
      </c>
      <c r="D21" s="88" t="s">
        <v>9</v>
      </c>
      <c r="E21" s="88" t="s">
        <v>57</v>
      </c>
      <c r="F21" s="76" t="s">
        <v>281</v>
      </c>
      <c r="G21" s="76" t="s">
        <v>78</v>
      </c>
      <c r="H21" s="76" t="s">
        <v>276</v>
      </c>
      <c r="I21" s="89" t="s">
        <v>7</v>
      </c>
      <c r="J21" s="89">
        <v>2021</v>
      </c>
      <c r="K21" s="76">
        <v>26</v>
      </c>
      <c r="L21" s="76">
        <v>2</v>
      </c>
      <c r="M21" s="76">
        <v>2</v>
      </c>
      <c r="N21" s="76">
        <v>26</v>
      </c>
      <c r="O21" s="77">
        <v>12500</v>
      </c>
      <c r="P21" s="77">
        <v>7500</v>
      </c>
      <c r="Q21" s="77">
        <v>3750</v>
      </c>
      <c r="R21" s="77">
        <v>1600</v>
      </c>
      <c r="S21" s="77">
        <v>1600</v>
      </c>
      <c r="T21" s="77">
        <v>1250</v>
      </c>
      <c r="U21" s="77">
        <v>1250</v>
      </c>
      <c r="V21" s="77">
        <v>-1600</v>
      </c>
      <c r="W21" s="77">
        <v>-1600</v>
      </c>
      <c r="X21" s="77">
        <v>5000</v>
      </c>
      <c r="Y21" s="77">
        <v>12500</v>
      </c>
      <c r="Z21" s="77">
        <v>0</v>
      </c>
      <c r="AA21" s="78">
        <v>0.1</v>
      </c>
      <c r="AB21" s="77">
        <v>0</v>
      </c>
      <c r="AC21" s="77">
        <v>1800</v>
      </c>
      <c r="AD21" s="77">
        <v>0</v>
      </c>
      <c r="AE21" s="77">
        <v>1800</v>
      </c>
      <c r="AF21" s="77">
        <v>500</v>
      </c>
      <c r="AG21" s="79">
        <v>11200</v>
      </c>
      <c r="AH21" s="80" t="s">
        <v>173</v>
      </c>
      <c r="AI21" s="80" t="s">
        <v>223</v>
      </c>
      <c r="AJ21" s="81">
        <v>10000000018</v>
      </c>
      <c r="AK21" s="92"/>
    </row>
    <row r="22" spans="1:37" ht="15.6" x14ac:dyDescent="0.3">
      <c r="A22" s="92"/>
      <c r="B22" s="88">
        <v>19</v>
      </c>
      <c r="C22" s="76" t="s">
        <v>49</v>
      </c>
      <c r="D22" s="88" t="s">
        <v>27</v>
      </c>
      <c r="E22" s="88" t="s">
        <v>57</v>
      </c>
      <c r="F22" s="76" t="s">
        <v>282</v>
      </c>
      <c r="G22" s="76" t="s">
        <v>78</v>
      </c>
      <c r="H22" s="76" t="s">
        <v>276</v>
      </c>
      <c r="I22" s="89" t="s">
        <v>7</v>
      </c>
      <c r="J22" s="89">
        <v>2021</v>
      </c>
      <c r="K22" s="76">
        <v>26</v>
      </c>
      <c r="L22" s="76">
        <v>2</v>
      </c>
      <c r="M22" s="76">
        <v>0</v>
      </c>
      <c r="N22" s="76">
        <v>26</v>
      </c>
      <c r="O22" s="77">
        <v>25000</v>
      </c>
      <c r="P22" s="77">
        <v>15000</v>
      </c>
      <c r="Q22" s="77">
        <v>7500</v>
      </c>
      <c r="R22" s="77">
        <v>1600</v>
      </c>
      <c r="S22" s="77">
        <v>1600</v>
      </c>
      <c r="T22" s="77">
        <v>1250</v>
      </c>
      <c r="U22" s="77">
        <v>1250</v>
      </c>
      <c r="V22" s="77">
        <v>-350</v>
      </c>
      <c r="W22" s="77">
        <v>-350</v>
      </c>
      <c r="X22" s="77">
        <v>10000</v>
      </c>
      <c r="Y22" s="77">
        <v>25000</v>
      </c>
      <c r="Z22" s="77">
        <v>200</v>
      </c>
      <c r="AA22" s="78">
        <v>0.1</v>
      </c>
      <c r="AB22" s="77">
        <v>0</v>
      </c>
      <c r="AC22" s="77">
        <v>3000</v>
      </c>
      <c r="AD22" s="77">
        <v>0</v>
      </c>
      <c r="AE22" s="77">
        <v>3200</v>
      </c>
      <c r="AF22" s="77">
        <v>500</v>
      </c>
      <c r="AG22" s="79">
        <v>22300</v>
      </c>
      <c r="AH22" s="80" t="s">
        <v>174</v>
      </c>
      <c r="AI22" s="80" t="s">
        <v>224</v>
      </c>
      <c r="AJ22" s="81">
        <v>10000000019</v>
      </c>
      <c r="AK22" s="92"/>
    </row>
    <row r="23" spans="1:37" ht="15.6" x14ac:dyDescent="0.3">
      <c r="A23" s="92"/>
      <c r="B23" s="88">
        <v>20</v>
      </c>
      <c r="C23" s="76" t="s">
        <v>50</v>
      </c>
      <c r="D23" s="88" t="s">
        <v>28</v>
      </c>
      <c r="E23" s="88" t="s">
        <v>59</v>
      </c>
      <c r="F23" s="76" t="s">
        <v>283</v>
      </c>
      <c r="G23" s="76" t="s">
        <v>78</v>
      </c>
      <c r="H23" s="76" t="s">
        <v>276</v>
      </c>
      <c r="I23" s="89" t="s">
        <v>7</v>
      </c>
      <c r="J23" s="89">
        <v>2021</v>
      </c>
      <c r="K23" s="76">
        <v>26</v>
      </c>
      <c r="L23" s="76">
        <v>2</v>
      </c>
      <c r="M23" s="76">
        <v>1</v>
      </c>
      <c r="N23" s="76">
        <v>26</v>
      </c>
      <c r="O23" s="77">
        <v>25000</v>
      </c>
      <c r="P23" s="77">
        <v>15000</v>
      </c>
      <c r="Q23" s="77">
        <v>7500</v>
      </c>
      <c r="R23" s="77">
        <v>1600</v>
      </c>
      <c r="S23" s="77">
        <v>1600</v>
      </c>
      <c r="T23" s="77">
        <v>1000</v>
      </c>
      <c r="U23" s="77">
        <v>1000</v>
      </c>
      <c r="V23" s="77">
        <v>-100</v>
      </c>
      <c r="W23" s="77">
        <v>-100</v>
      </c>
      <c r="X23" s="77">
        <v>10000</v>
      </c>
      <c r="Y23" s="77">
        <v>25000</v>
      </c>
      <c r="Z23" s="77">
        <v>200</v>
      </c>
      <c r="AA23" s="78">
        <v>0.1</v>
      </c>
      <c r="AB23" s="77">
        <v>0</v>
      </c>
      <c r="AC23" s="77">
        <v>3000</v>
      </c>
      <c r="AD23" s="77">
        <v>0</v>
      </c>
      <c r="AE23" s="77">
        <v>3200</v>
      </c>
      <c r="AF23" s="77">
        <v>500</v>
      </c>
      <c r="AG23" s="79">
        <v>22300</v>
      </c>
      <c r="AH23" s="80" t="s">
        <v>175</v>
      </c>
      <c r="AI23" s="80" t="s">
        <v>225</v>
      </c>
      <c r="AJ23" s="81">
        <v>10000000020</v>
      </c>
      <c r="AK23" s="92"/>
    </row>
    <row r="24" spans="1:37" ht="15.6" x14ac:dyDescent="0.3">
      <c r="A24" s="92"/>
      <c r="B24" s="88">
        <v>21</v>
      </c>
      <c r="C24" s="76" t="s">
        <v>61</v>
      </c>
      <c r="D24" s="88" t="s">
        <v>68</v>
      </c>
      <c r="E24" s="88"/>
      <c r="F24" s="76"/>
      <c r="G24" s="76"/>
      <c r="H24" s="76"/>
      <c r="I24" s="89" t="s">
        <v>7</v>
      </c>
      <c r="J24" s="89">
        <v>2021</v>
      </c>
      <c r="K24" s="76">
        <v>26</v>
      </c>
      <c r="L24" s="76">
        <v>2</v>
      </c>
      <c r="M24" s="76">
        <v>5</v>
      </c>
      <c r="N24" s="76">
        <v>23</v>
      </c>
      <c r="O24" s="77">
        <v>25000</v>
      </c>
      <c r="P24" s="77">
        <v>13269.23076923077</v>
      </c>
      <c r="Q24" s="77">
        <v>0</v>
      </c>
      <c r="R24" s="77">
        <v>1600</v>
      </c>
      <c r="S24" s="77">
        <v>1415.3846153846155</v>
      </c>
      <c r="T24" s="77">
        <v>1000</v>
      </c>
      <c r="U24" s="77">
        <v>884.61538461538453</v>
      </c>
      <c r="V24" s="77">
        <v>9130.7692307692305</v>
      </c>
      <c r="W24" s="77">
        <v>8077.2189349112423</v>
      </c>
      <c r="X24" s="77">
        <v>10377.218934911241</v>
      </c>
      <c r="Y24" s="77">
        <v>23646.449704142011</v>
      </c>
      <c r="Z24" s="77">
        <v>200</v>
      </c>
      <c r="AA24" s="78">
        <v>0.1</v>
      </c>
      <c r="AB24" s="77">
        <v>0</v>
      </c>
      <c r="AC24" s="77">
        <v>2837.5739644970413</v>
      </c>
      <c r="AD24" s="77">
        <v>0</v>
      </c>
      <c r="AE24" s="77">
        <v>3037.5739644970413</v>
      </c>
      <c r="AF24" s="77">
        <v>500</v>
      </c>
      <c r="AG24" s="79">
        <v>21108.875739644969</v>
      </c>
      <c r="AH24" s="80" t="s">
        <v>176</v>
      </c>
      <c r="AI24" s="80" t="s">
        <v>226</v>
      </c>
      <c r="AJ24" s="81">
        <v>10000000021</v>
      </c>
      <c r="AK24" s="92"/>
    </row>
    <row r="25" spans="1:37" ht="15.6" x14ac:dyDescent="0.3">
      <c r="A25" s="92"/>
      <c r="B25" s="88">
        <v>22</v>
      </c>
      <c r="C25" s="76" t="s">
        <v>62</v>
      </c>
      <c r="D25" s="88" t="s">
        <v>69</v>
      </c>
      <c r="E25" s="88"/>
      <c r="F25" s="76"/>
      <c r="G25" s="76"/>
      <c r="H25" s="76"/>
      <c r="I25" s="89" t="s">
        <v>7</v>
      </c>
      <c r="J25" s="89">
        <v>2021</v>
      </c>
      <c r="K25" s="76">
        <v>26</v>
      </c>
      <c r="L25" s="76">
        <v>2</v>
      </c>
      <c r="M25" s="76">
        <v>0</v>
      </c>
      <c r="N25" s="76">
        <v>26</v>
      </c>
      <c r="O25" s="77">
        <v>25000</v>
      </c>
      <c r="P25" s="77">
        <v>15000</v>
      </c>
      <c r="Q25" s="77">
        <v>0</v>
      </c>
      <c r="R25" s="77">
        <v>1600</v>
      </c>
      <c r="S25" s="77">
        <v>1600</v>
      </c>
      <c r="T25" s="77">
        <v>800</v>
      </c>
      <c r="U25" s="77">
        <v>800</v>
      </c>
      <c r="V25" s="77">
        <v>7600</v>
      </c>
      <c r="W25" s="77">
        <v>7600</v>
      </c>
      <c r="X25" s="77">
        <v>10000</v>
      </c>
      <c r="Y25" s="77">
        <v>25000</v>
      </c>
      <c r="Z25" s="77">
        <v>200</v>
      </c>
      <c r="AA25" s="78">
        <v>0.1</v>
      </c>
      <c r="AB25" s="77">
        <v>0</v>
      </c>
      <c r="AC25" s="77">
        <v>3000</v>
      </c>
      <c r="AD25" s="77">
        <v>0</v>
      </c>
      <c r="AE25" s="77">
        <v>3200</v>
      </c>
      <c r="AF25" s="77">
        <v>500</v>
      </c>
      <c r="AG25" s="79">
        <v>22300</v>
      </c>
      <c r="AH25" s="80" t="s">
        <v>177</v>
      </c>
      <c r="AI25" s="80" t="s">
        <v>227</v>
      </c>
      <c r="AJ25" s="81">
        <v>10000000022</v>
      </c>
      <c r="AK25" s="92"/>
    </row>
    <row r="26" spans="1:37" ht="15.6" x14ac:dyDescent="0.3">
      <c r="A26" s="92"/>
      <c r="B26" s="88">
        <v>23</v>
      </c>
      <c r="C26" s="76" t="s">
        <v>63</v>
      </c>
      <c r="D26" s="88" t="s">
        <v>70</v>
      </c>
      <c r="E26" s="88"/>
      <c r="F26" s="76"/>
      <c r="G26" s="76"/>
      <c r="H26" s="76"/>
      <c r="I26" s="89" t="s">
        <v>7</v>
      </c>
      <c r="J26" s="89">
        <v>2021</v>
      </c>
      <c r="K26" s="76">
        <v>26</v>
      </c>
      <c r="L26" s="76">
        <v>2</v>
      </c>
      <c r="M26" s="76">
        <v>0</v>
      </c>
      <c r="N26" s="76">
        <v>26</v>
      </c>
      <c r="O26" s="77">
        <v>25000</v>
      </c>
      <c r="P26" s="77">
        <v>15000</v>
      </c>
      <c r="Q26" s="77">
        <v>0</v>
      </c>
      <c r="R26" s="77">
        <v>1600</v>
      </c>
      <c r="S26" s="77">
        <v>1600</v>
      </c>
      <c r="T26" s="77">
        <v>1200</v>
      </c>
      <c r="U26" s="77">
        <v>1200</v>
      </c>
      <c r="V26" s="77">
        <v>7200</v>
      </c>
      <c r="W26" s="77">
        <v>7200</v>
      </c>
      <c r="X26" s="77">
        <v>10000</v>
      </c>
      <c r="Y26" s="77">
        <v>25000</v>
      </c>
      <c r="Z26" s="77">
        <v>200</v>
      </c>
      <c r="AA26" s="78">
        <v>0.1</v>
      </c>
      <c r="AB26" s="77">
        <v>0</v>
      </c>
      <c r="AC26" s="77">
        <v>3000</v>
      </c>
      <c r="AD26" s="77">
        <v>0</v>
      </c>
      <c r="AE26" s="77">
        <v>3200</v>
      </c>
      <c r="AF26" s="77">
        <v>500</v>
      </c>
      <c r="AG26" s="79">
        <v>22300</v>
      </c>
      <c r="AH26" s="80" t="s">
        <v>178</v>
      </c>
      <c r="AI26" s="80" t="s">
        <v>228</v>
      </c>
      <c r="AJ26" s="81">
        <v>10000000023</v>
      </c>
      <c r="AK26" s="92"/>
    </row>
    <row r="27" spans="1:37" ht="15.6" x14ac:dyDescent="0.3">
      <c r="A27" s="92"/>
      <c r="B27" s="88">
        <v>24</v>
      </c>
      <c r="C27" s="76" t="s">
        <v>64</v>
      </c>
      <c r="D27" s="88" t="s">
        <v>71</v>
      </c>
      <c r="E27" s="88"/>
      <c r="F27" s="76"/>
      <c r="G27" s="76"/>
      <c r="H27" s="76"/>
      <c r="I27" s="89" t="s">
        <v>7</v>
      </c>
      <c r="J27" s="89">
        <v>2021</v>
      </c>
      <c r="K27" s="76">
        <v>26</v>
      </c>
      <c r="L27" s="76">
        <v>2</v>
      </c>
      <c r="M27" s="76">
        <v>0</v>
      </c>
      <c r="N27" s="76">
        <v>26</v>
      </c>
      <c r="O27" s="77">
        <v>25000</v>
      </c>
      <c r="P27" s="77">
        <v>15000</v>
      </c>
      <c r="Q27" s="77">
        <v>0</v>
      </c>
      <c r="R27" s="77">
        <v>1600</v>
      </c>
      <c r="S27" s="77">
        <v>1600</v>
      </c>
      <c r="T27" s="77">
        <v>1250</v>
      </c>
      <c r="U27" s="77">
        <v>1250</v>
      </c>
      <c r="V27" s="77">
        <v>7150</v>
      </c>
      <c r="W27" s="77">
        <v>7150</v>
      </c>
      <c r="X27" s="77">
        <v>10000</v>
      </c>
      <c r="Y27" s="77">
        <v>25000</v>
      </c>
      <c r="Z27" s="77">
        <v>200</v>
      </c>
      <c r="AA27" s="78">
        <v>0.1</v>
      </c>
      <c r="AB27" s="77">
        <v>0</v>
      </c>
      <c r="AC27" s="77">
        <v>3000</v>
      </c>
      <c r="AD27" s="77">
        <v>0</v>
      </c>
      <c r="AE27" s="77">
        <v>3200</v>
      </c>
      <c r="AF27" s="77">
        <v>500</v>
      </c>
      <c r="AG27" s="79">
        <v>22300</v>
      </c>
      <c r="AH27" s="80" t="s">
        <v>179</v>
      </c>
      <c r="AI27" s="80" t="s">
        <v>229</v>
      </c>
      <c r="AJ27" s="81">
        <v>10000000024</v>
      </c>
      <c r="AK27" s="92"/>
    </row>
    <row r="28" spans="1:37" ht="15.6" x14ac:dyDescent="0.3">
      <c r="A28" s="92"/>
      <c r="B28" s="88">
        <v>25</v>
      </c>
      <c r="C28" s="76" t="s">
        <v>65</v>
      </c>
      <c r="D28" s="88" t="s">
        <v>72</v>
      </c>
      <c r="E28" s="88"/>
      <c r="F28" s="76"/>
      <c r="G28" s="76"/>
      <c r="H28" s="76"/>
      <c r="I28" s="89" t="s">
        <v>7</v>
      </c>
      <c r="J28" s="89">
        <v>2021</v>
      </c>
      <c r="K28" s="76">
        <v>26</v>
      </c>
      <c r="L28" s="76">
        <v>2</v>
      </c>
      <c r="M28" s="76">
        <v>1</v>
      </c>
      <c r="N28" s="76">
        <v>26</v>
      </c>
      <c r="O28" s="77">
        <v>25000</v>
      </c>
      <c r="P28" s="77">
        <v>15000</v>
      </c>
      <c r="Q28" s="77">
        <v>0</v>
      </c>
      <c r="R28" s="77">
        <v>1600</v>
      </c>
      <c r="S28" s="77">
        <v>1600</v>
      </c>
      <c r="T28" s="77">
        <v>0</v>
      </c>
      <c r="U28" s="77">
        <v>0</v>
      </c>
      <c r="V28" s="77">
        <v>8400</v>
      </c>
      <c r="W28" s="77">
        <v>8400</v>
      </c>
      <c r="X28" s="77">
        <v>10000</v>
      </c>
      <c r="Y28" s="77">
        <v>25000</v>
      </c>
      <c r="Z28" s="77">
        <v>200</v>
      </c>
      <c r="AA28" s="78">
        <v>0.1</v>
      </c>
      <c r="AB28" s="77">
        <v>0</v>
      </c>
      <c r="AC28" s="77">
        <v>3000</v>
      </c>
      <c r="AD28" s="77">
        <v>0</v>
      </c>
      <c r="AE28" s="77">
        <v>3200</v>
      </c>
      <c r="AF28" s="77">
        <v>500</v>
      </c>
      <c r="AG28" s="79">
        <v>22300</v>
      </c>
      <c r="AH28" s="80" t="s">
        <v>180</v>
      </c>
      <c r="AI28" s="80" t="s">
        <v>230</v>
      </c>
      <c r="AJ28" s="81">
        <v>10000000025</v>
      </c>
      <c r="AK28" s="92"/>
    </row>
    <row r="29" spans="1:37" ht="15.6" x14ac:dyDescent="0.3">
      <c r="A29" s="92"/>
      <c r="B29" s="88">
        <v>26</v>
      </c>
      <c r="C29" s="76" t="s">
        <v>74</v>
      </c>
      <c r="D29" s="88" t="s">
        <v>73</v>
      </c>
      <c r="E29" s="88"/>
      <c r="F29" s="76"/>
      <c r="G29" s="76"/>
      <c r="H29" s="76"/>
      <c r="I29" s="89" t="s">
        <v>7</v>
      </c>
      <c r="J29" s="89">
        <v>2021</v>
      </c>
      <c r="K29" s="76">
        <v>26</v>
      </c>
      <c r="L29" s="76">
        <v>2</v>
      </c>
      <c r="M29" s="76">
        <v>0</v>
      </c>
      <c r="N29" s="76">
        <v>26</v>
      </c>
      <c r="O29" s="77">
        <v>25000</v>
      </c>
      <c r="P29" s="77">
        <v>15000</v>
      </c>
      <c r="Q29" s="77">
        <v>0</v>
      </c>
      <c r="R29" s="77">
        <v>1600</v>
      </c>
      <c r="S29" s="77">
        <v>1600</v>
      </c>
      <c r="T29" s="77">
        <v>0</v>
      </c>
      <c r="U29" s="77">
        <v>0</v>
      </c>
      <c r="V29" s="77">
        <v>8400</v>
      </c>
      <c r="W29" s="77">
        <v>8400</v>
      </c>
      <c r="X29" s="77">
        <v>10000</v>
      </c>
      <c r="Y29" s="77">
        <v>25000</v>
      </c>
      <c r="Z29" s="77">
        <v>200</v>
      </c>
      <c r="AA29" s="78">
        <v>0.1</v>
      </c>
      <c r="AB29" s="77">
        <v>0</v>
      </c>
      <c r="AC29" s="77">
        <v>3000</v>
      </c>
      <c r="AD29" s="77">
        <v>0</v>
      </c>
      <c r="AE29" s="77">
        <v>3200</v>
      </c>
      <c r="AF29" s="77">
        <v>500</v>
      </c>
      <c r="AG29" s="79">
        <v>22300</v>
      </c>
      <c r="AH29" s="80" t="s">
        <v>181</v>
      </c>
      <c r="AI29" s="80" t="s">
        <v>231</v>
      </c>
      <c r="AJ29" s="81">
        <v>10000000026</v>
      </c>
      <c r="AK29" s="92"/>
    </row>
    <row r="30" spans="1:37" ht="15.6" x14ac:dyDescent="0.3">
      <c r="A30" s="92"/>
      <c r="B30" s="88">
        <v>27</v>
      </c>
      <c r="C30" s="76" t="s">
        <v>122</v>
      </c>
      <c r="D30" s="88" t="s">
        <v>99</v>
      </c>
      <c r="E30" s="88"/>
      <c r="F30" s="76"/>
      <c r="G30" s="76"/>
      <c r="H30" s="76"/>
      <c r="I30" s="89" t="s">
        <v>7</v>
      </c>
      <c r="J30" s="89">
        <v>2021</v>
      </c>
      <c r="K30" s="76">
        <v>26</v>
      </c>
      <c r="L30" s="76">
        <v>2</v>
      </c>
      <c r="M30" s="76">
        <v>1</v>
      </c>
      <c r="N30" s="76">
        <v>26</v>
      </c>
      <c r="O30" s="77"/>
      <c r="P30" s="77">
        <v>0</v>
      </c>
      <c r="Q30" s="77">
        <v>0</v>
      </c>
      <c r="R30" s="77">
        <v>0</v>
      </c>
      <c r="S30" s="77">
        <v>0</v>
      </c>
      <c r="T30" s="77">
        <v>0</v>
      </c>
      <c r="U30" s="77">
        <v>0</v>
      </c>
      <c r="V30" s="77">
        <v>0</v>
      </c>
      <c r="W30" s="77">
        <v>0</v>
      </c>
      <c r="X30" s="77">
        <v>0</v>
      </c>
      <c r="Y30" s="77">
        <v>0</v>
      </c>
      <c r="Z30" s="77">
        <v>0</v>
      </c>
      <c r="AA30" s="78">
        <v>0.1</v>
      </c>
      <c r="AB30" s="77">
        <v>0</v>
      </c>
      <c r="AC30" s="77">
        <v>0</v>
      </c>
      <c r="AD30" s="77">
        <v>0</v>
      </c>
      <c r="AE30" s="77">
        <v>0</v>
      </c>
      <c r="AF30" s="77">
        <v>0</v>
      </c>
      <c r="AG30" s="79">
        <v>0</v>
      </c>
      <c r="AH30" s="80" t="s">
        <v>182</v>
      </c>
      <c r="AI30" s="80" t="s">
        <v>232</v>
      </c>
      <c r="AJ30" s="81">
        <v>10000000027</v>
      </c>
      <c r="AK30" s="92"/>
    </row>
    <row r="31" spans="1:37" ht="15.6" x14ac:dyDescent="0.3">
      <c r="A31" s="92"/>
      <c r="B31" s="88">
        <v>28</v>
      </c>
      <c r="C31" s="76" t="s">
        <v>123</v>
      </c>
      <c r="D31" s="88" t="s">
        <v>98</v>
      </c>
      <c r="E31" s="88"/>
      <c r="F31" s="76"/>
      <c r="G31" s="76"/>
      <c r="H31" s="76"/>
      <c r="I31" s="89" t="s">
        <v>7</v>
      </c>
      <c r="J31" s="89">
        <v>2021</v>
      </c>
      <c r="K31" s="76">
        <v>26</v>
      </c>
      <c r="L31" s="76">
        <v>2</v>
      </c>
      <c r="M31" s="76">
        <v>1</v>
      </c>
      <c r="N31" s="76">
        <v>26</v>
      </c>
      <c r="O31" s="77"/>
      <c r="P31" s="77">
        <v>0</v>
      </c>
      <c r="Q31" s="77">
        <v>0</v>
      </c>
      <c r="R31" s="77">
        <v>0</v>
      </c>
      <c r="S31" s="77">
        <v>0</v>
      </c>
      <c r="T31" s="77">
        <v>0</v>
      </c>
      <c r="U31" s="77">
        <v>0</v>
      </c>
      <c r="V31" s="77">
        <v>0</v>
      </c>
      <c r="W31" s="77">
        <v>0</v>
      </c>
      <c r="X31" s="77">
        <v>0</v>
      </c>
      <c r="Y31" s="77">
        <v>0</v>
      </c>
      <c r="Z31" s="77">
        <v>0</v>
      </c>
      <c r="AA31" s="78">
        <v>0.1</v>
      </c>
      <c r="AB31" s="77">
        <v>0</v>
      </c>
      <c r="AC31" s="77">
        <v>0</v>
      </c>
      <c r="AD31" s="77">
        <v>0</v>
      </c>
      <c r="AE31" s="77">
        <v>0</v>
      </c>
      <c r="AF31" s="77">
        <v>0</v>
      </c>
      <c r="AG31" s="79">
        <v>0</v>
      </c>
      <c r="AH31" s="80" t="s">
        <v>183</v>
      </c>
      <c r="AI31" s="80" t="s">
        <v>233</v>
      </c>
      <c r="AJ31" s="81">
        <v>10000000028</v>
      </c>
      <c r="AK31" s="92"/>
    </row>
    <row r="32" spans="1:37" ht="15.6" x14ac:dyDescent="0.3">
      <c r="A32" s="92"/>
      <c r="B32" s="88">
        <v>29</v>
      </c>
      <c r="C32" s="76" t="s">
        <v>124</v>
      </c>
      <c r="D32" s="88" t="s">
        <v>100</v>
      </c>
      <c r="E32" s="88"/>
      <c r="F32" s="76"/>
      <c r="G32" s="76"/>
      <c r="H32" s="76"/>
      <c r="I32" s="89" t="s">
        <v>7</v>
      </c>
      <c r="J32" s="89">
        <v>2021</v>
      </c>
      <c r="K32" s="76">
        <v>26</v>
      </c>
      <c r="L32" s="76">
        <v>2</v>
      </c>
      <c r="M32" s="76">
        <v>9</v>
      </c>
      <c r="N32" s="76">
        <v>19</v>
      </c>
      <c r="O32" s="77"/>
      <c r="P32" s="77">
        <v>0</v>
      </c>
      <c r="Q32" s="77">
        <v>0</v>
      </c>
      <c r="R32" s="77">
        <v>0</v>
      </c>
      <c r="S32" s="77">
        <v>0</v>
      </c>
      <c r="T32" s="77">
        <v>0</v>
      </c>
      <c r="U32" s="77">
        <v>0</v>
      </c>
      <c r="V32" s="77">
        <v>0</v>
      </c>
      <c r="W32" s="77">
        <v>0</v>
      </c>
      <c r="X32" s="77">
        <v>0</v>
      </c>
      <c r="Y32" s="77">
        <v>0</v>
      </c>
      <c r="Z32" s="77">
        <v>0</v>
      </c>
      <c r="AA32" s="78">
        <v>0.1</v>
      </c>
      <c r="AB32" s="77">
        <v>0</v>
      </c>
      <c r="AC32" s="77">
        <v>0</v>
      </c>
      <c r="AD32" s="77">
        <v>0</v>
      </c>
      <c r="AE32" s="77">
        <v>0</v>
      </c>
      <c r="AF32" s="77">
        <v>0</v>
      </c>
      <c r="AG32" s="79">
        <v>0</v>
      </c>
      <c r="AH32" s="80" t="s">
        <v>184</v>
      </c>
      <c r="AI32" s="80" t="s">
        <v>234</v>
      </c>
      <c r="AJ32" s="81">
        <v>10000000029</v>
      </c>
      <c r="AK32" s="92"/>
    </row>
    <row r="33" spans="1:37" ht="15.6" x14ac:dyDescent="0.3">
      <c r="A33" s="92"/>
      <c r="B33" s="88">
        <v>30</v>
      </c>
      <c r="C33" s="76" t="s">
        <v>125</v>
      </c>
      <c r="D33" s="88" t="s">
        <v>101</v>
      </c>
      <c r="E33" s="88"/>
      <c r="F33" s="76"/>
      <c r="G33" s="76"/>
      <c r="H33" s="76"/>
      <c r="I33" s="89" t="s">
        <v>7</v>
      </c>
      <c r="J33" s="89">
        <v>2021</v>
      </c>
      <c r="K33" s="76">
        <v>26</v>
      </c>
      <c r="L33" s="76">
        <v>2</v>
      </c>
      <c r="M33" s="76">
        <v>0</v>
      </c>
      <c r="N33" s="76">
        <v>26</v>
      </c>
      <c r="O33" s="77"/>
      <c r="P33" s="77">
        <v>0</v>
      </c>
      <c r="Q33" s="77">
        <v>0</v>
      </c>
      <c r="R33" s="77">
        <v>0</v>
      </c>
      <c r="S33" s="77">
        <v>0</v>
      </c>
      <c r="T33" s="77">
        <v>0</v>
      </c>
      <c r="U33" s="77">
        <v>0</v>
      </c>
      <c r="V33" s="77">
        <v>0</v>
      </c>
      <c r="W33" s="77">
        <v>0</v>
      </c>
      <c r="X33" s="77">
        <v>0</v>
      </c>
      <c r="Y33" s="77">
        <v>0</v>
      </c>
      <c r="Z33" s="77">
        <v>0</v>
      </c>
      <c r="AA33" s="78">
        <v>0.1</v>
      </c>
      <c r="AB33" s="77">
        <v>0</v>
      </c>
      <c r="AC33" s="77">
        <v>0</v>
      </c>
      <c r="AD33" s="77">
        <v>0</v>
      </c>
      <c r="AE33" s="77">
        <v>0</v>
      </c>
      <c r="AF33" s="77">
        <v>0</v>
      </c>
      <c r="AG33" s="79">
        <v>0</v>
      </c>
      <c r="AH33" s="80" t="s">
        <v>185</v>
      </c>
      <c r="AI33" s="80" t="s">
        <v>235</v>
      </c>
      <c r="AJ33" s="81">
        <v>10000000030</v>
      </c>
      <c r="AK33" s="92"/>
    </row>
    <row r="34" spans="1:37" ht="15.6" x14ac:dyDescent="0.3">
      <c r="A34" s="92"/>
      <c r="B34" s="88">
        <v>31</v>
      </c>
      <c r="C34" s="76" t="s">
        <v>126</v>
      </c>
      <c r="D34" s="88" t="s">
        <v>102</v>
      </c>
      <c r="E34" s="88"/>
      <c r="F34" s="76"/>
      <c r="G34" s="76"/>
      <c r="H34" s="76"/>
      <c r="I34" s="89" t="s">
        <v>7</v>
      </c>
      <c r="J34" s="89">
        <v>2021</v>
      </c>
      <c r="K34" s="76">
        <v>26</v>
      </c>
      <c r="L34" s="76">
        <v>2</v>
      </c>
      <c r="M34" s="76">
        <v>0</v>
      </c>
      <c r="N34" s="76">
        <v>26</v>
      </c>
      <c r="O34" s="77"/>
      <c r="P34" s="77">
        <v>0</v>
      </c>
      <c r="Q34" s="77">
        <v>0</v>
      </c>
      <c r="R34" s="77">
        <v>0</v>
      </c>
      <c r="S34" s="77">
        <v>0</v>
      </c>
      <c r="T34" s="77">
        <v>0</v>
      </c>
      <c r="U34" s="77">
        <v>0</v>
      </c>
      <c r="V34" s="77">
        <v>0</v>
      </c>
      <c r="W34" s="77">
        <v>0</v>
      </c>
      <c r="X34" s="77">
        <v>0</v>
      </c>
      <c r="Y34" s="77">
        <v>0</v>
      </c>
      <c r="Z34" s="77">
        <v>0</v>
      </c>
      <c r="AA34" s="78">
        <v>0.1</v>
      </c>
      <c r="AB34" s="77">
        <v>0</v>
      </c>
      <c r="AC34" s="77">
        <v>0</v>
      </c>
      <c r="AD34" s="77">
        <v>0</v>
      </c>
      <c r="AE34" s="77">
        <v>0</v>
      </c>
      <c r="AF34" s="77">
        <v>0</v>
      </c>
      <c r="AG34" s="79">
        <v>0</v>
      </c>
      <c r="AH34" s="80" t="s">
        <v>186</v>
      </c>
      <c r="AI34" s="80" t="s">
        <v>236</v>
      </c>
      <c r="AJ34" s="81">
        <v>10000000031</v>
      </c>
      <c r="AK34" s="92"/>
    </row>
    <row r="35" spans="1:37" ht="15.6" x14ac:dyDescent="0.3">
      <c r="A35" s="92"/>
      <c r="B35" s="88">
        <v>32</v>
      </c>
      <c r="C35" s="76" t="s">
        <v>127</v>
      </c>
      <c r="D35" s="88" t="s">
        <v>103</v>
      </c>
      <c r="E35" s="88"/>
      <c r="F35" s="76"/>
      <c r="G35" s="76"/>
      <c r="H35" s="76"/>
      <c r="I35" s="89" t="s">
        <v>7</v>
      </c>
      <c r="J35" s="89">
        <v>2021</v>
      </c>
      <c r="K35" s="76">
        <v>26</v>
      </c>
      <c r="L35" s="76">
        <v>2</v>
      </c>
      <c r="M35" s="76">
        <v>2</v>
      </c>
      <c r="N35" s="76">
        <v>26</v>
      </c>
      <c r="O35" s="77"/>
      <c r="P35" s="77">
        <v>0</v>
      </c>
      <c r="Q35" s="77">
        <v>0</v>
      </c>
      <c r="R35" s="77">
        <v>0</v>
      </c>
      <c r="S35" s="77">
        <v>0</v>
      </c>
      <c r="T35" s="77">
        <v>0</v>
      </c>
      <c r="U35" s="77">
        <v>0</v>
      </c>
      <c r="V35" s="77">
        <v>0</v>
      </c>
      <c r="W35" s="77">
        <v>0</v>
      </c>
      <c r="X35" s="77">
        <v>0</v>
      </c>
      <c r="Y35" s="77">
        <v>0</v>
      </c>
      <c r="Z35" s="77">
        <v>0</v>
      </c>
      <c r="AA35" s="78">
        <v>0.1</v>
      </c>
      <c r="AB35" s="77">
        <v>0</v>
      </c>
      <c r="AC35" s="77">
        <v>0</v>
      </c>
      <c r="AD35" s="77">
        <v>0</v>
      </c>
      <c r="AE35" s="77">
        <v>0</v>
      </c>
      <c r="AF35" s="77">
        <v>0</v>
      </c>
      <c r="AG35" s="79">
        <v>0</v>
      </c>
      <c r="AH35" s="80" t="s">
        <v>187</v>
      </c>
      <c r="AI35" s="80" t="s">
        <v>237</v>
      </c>
      <c r="AJ35" s="81">
        <v>10000000032</v>
      </c>
      <c r="AK35" s="92"/>
    </row>
    <row r="36" spans="1:37" ht="15.6" x14ac:dyDescent="0.3">
      <c r="A36" s="92"/>
      <c r="B36" s="88">
        <v>33</v>
      </c>
      <c r="C36" s="76" t="s">
        <v>128</v>
      </c>
      <c r="D36" s="88" t="s">
        <v>104</v>
      </c>
      <c r="E36" s="88"/>
      <c r="F36" s="76"/>
      <c r="G36" s="76"/>
      <c r="H36" s="76"/>
      <c r="I36" s="89" t="s">
        <v>7</v>
      </c>
      <c r="J36" s="89">
        <v>2021</v>
      </c>
      <c r="K36" s="76">
        <v>26</v>
      </c>
      <c r="L36" s="76">
        <v>2</v>
      </c>
      <c r="M36" s="76">
        <v>0</v>
      </c>
      <c r="N36" s="76">
        <v>26</v>
      </c>
      <c r="O36" s="77"/>
      <c r="P36" s="77">
        <v>0</v>
      </c>
      <c r="Q36" s="77">
        <v>0</v>
      </c>
      <c r="R36" s="77">
        <v>0</v>
      </c>
      <c r="S36" s="77">
        <v>0</v>
      </c>
      <c r="T36" s="77">
        <v>0</v>
      </c>
      <c r="U36" s="77">
        <v>0</v>
      </c>
      <c r="V36" s="77">
        <v>0</v>
      </c>
      <c r="W36" s="77">
        <v>0</v>
      </c>
      <c r="X36" s="77">
        <v>0</v>
      </c>
      <c r="Y36" s="77">
        <v>0</v>
      </c>
      <c r="Z36" s="77">
        <v>0</v>
      </c>
      <c r="AA36" s="78">
        <v>0.1</v>
      </c>
      <c r="AB36" s="77">
        <v>0</v>
      </c>
      <c r="AC36" s="77">
        <v>0</v>
      </c>
      <c r="AD36" s="77">
        <v>0</v>
      </c>
      <c r="AE36" s="77">
        <v>0</v>
      </c>
      <c r="AF36" s="77">
        <v>0</v>
      </c>
      <c r="AG36" s="79">
        <v>0</v>
      </c>
      <c r="AH36" s="80" t="s">
        <v>188</v>
      </c>
      <c r="AI36" s="80" t="s">
        <v>238</v>
      </c>
      <c r="AJ36" s="81">
        <v>10000000033</v>
      </c>
      <c r="AK36" s="92"/>
    </row>
    <row r="37" spans="1:37" ht="15.6" x14ac:dyDescent="0.3">
      <c r="A37" s="92"/>
      <c r="B37" s="88">
        <v>34</v>
      </c>
      <c r="C37" s="76" t="s">
        <v>129</v>
      </c>
      <c r="D37" s="88" t="s">
        <v>105</v>
      </c>
      <c r="E37" s="88"/>
      <c r="F37" s="76"/>
      <c r="G37" s="76"/>
      <c r="H37" s="76"/>
      <c r="I37" s="89" t="s">
        <v>7</v>
      </c>
      <c r="J37" s="89">
        <v>2021</v>
      </c>
      <c r="K37" s="76">
        <v>26</v>
      </c>
      <c r="L37" s="76">
        <v>2</v>
      </c>
      <c r="M37" s="76">
        <v>4</v>
      </c>
      <c r="N37" s="76">
        <v>24</v>
      </c>
      <c r="O37" s="77"/>
      <c r="P37" s="77">
        <v>0</v>
      </c>
      <c r="Q37" s="77">
        <v>0</v>
      </c>
      <c r="R37" s="77">
        <v>0</v>
      </c>
      <c r="S37" s="77">
        <v>0</v>
      </c>
      <c r="T37" s="77">
        <v>0</v>
      </c>
      <c r="U37" s="77">
        <v>0</v>
      </c>
      <c r="V37" s="77">
        <v>0</v>
      </c>
      <c r="W37" s="77">
        <v>0</v>
      </c>
      <c r="X37" s="77">
        <v>0</v>
      </c>
      <c r="Y37" s="77">
        <v>0</v>
      </c>
      <c r="Z37" s="77">
        <v>0</v>
      </c>
      <c r="AA37" s="78">
        <v>0.1</v>
      </c>
      <c r="AB37" s="77">
        <v>0</v>
      </c>
      <c r="AC37" s="77">
        <v>0</v>
      </c>
      <c r="AD37" s="77">
        <v>0</v>
      </c>
      <c r="AE37" s="77">
        <v>0</v>
      </c>
      <c r="AF37" s="77">
        <v>0</v>
      </c>
      <c r="AG37" s="79">
        <v>0</v>
      </c>
      <c r="AH37" s="80" t="s">
        <v>189</v>
      </c>
      <c r="AI37" s="80" t="s">
        <v>239</v>
      </c>
      <c r="AJ37" s="81">
        <v>10000000034</v>
      </c>
      <c r="AK37" s="92"/>
    </row>
    <row r="38" spans="1:37" ht="15.6" x14ac:dyDescent="0.3">
      <c r="A38" s="92"/>
      <c r="B38" s="88">
        <v>35</v>
      </c>
      <c r="C38" s="76" t="s">
        <v>130</v>
      </c>
      <c r="D38" s="88" t="s">
        <v>106</v>
      </c>
      <c r="E38" s="88"/>
      <c r="F38" s="76"/>
      <c r="G38" s="76"/>
      <c r="H38" s="76"/>
      <c r="I38" s="89" t="s">
        <v>7</v>
      </c>
      <c r="J38" s="89">
        <v>2021</v>
      </c>
      <c r="K38" s="76">
        <v>26</v>
      </c>
      <c r="L38" s="76">
        <v>2</v>
      </c>
      <c r="M38" s="76">
        <v>0</v>
      </c>
      <c r="N38" s="76">
        <v>26</v>
      </c>
      <c r="O38" s="77"/>
      <c r="P38" s="77">
        <v>0</v>
      </c>
      <c r="Q38" s="77">
        <v>0</v>
      </c>
      <c r="R38" s="77">
        <v>0</v>
      </c>
      <c r="S38" s="77">
        <v>0</v>
      </c>
      <c r="T38" s="77">
        <v>0</v>
      </c>
      <c r="U38" s="77">
        <v>0</v>
      </c>
      <c r="V38" s="77">
        <v>0</v>
      </c>
      <c r="W38" s="77">
        <v>0</v>
      </c>
      <c r="X38" s="77">
        <v>0</v>
      </c>
      <c r="Y38" s="77">
        <v>0</v>
      </c>
      <c r="Z38" s="77">
        <v>0</v>
      </c>
      <c r="AA38" s="78">
        <v>0.1</v>
      </c>
      <c r="AB38" s="77">
        <v>0</v>
      </c>
      <c r="AC38" s="77">
        <v>0</v>
      </c>
      <c r="AD38" s="77">
        <v>0</v>
      </c>
      <c r="AE38" s="77">
        <v>0</v>
      </c>
      <c r="AF38" s="77">
        <v>0</v>
      </c>
      <c r="AG38" s="79">
        <v>0</v>
      </c>
      <c r="AH38" s="80" t="s">
        <v>190</v>
      </c>
      <c r="AI38" s="80" t="s">
        <v>240</v>
      </c>
      <c r="AJ38" s="81">
        <v>10000000035</v>
      </c>
      <c r="AK38" s="92"/>
    </row>
    <row r="39" spans="1:37" ht="15.6" x14ac:dyDescent="0.3">
      <c r="A39" s="92"/>
      <c r="B39" s="88">
        <v>36</v>
      </c>
      <c r="C39" s="76" t="s">
        <v>131</v>
      </c>
      <c r="D39" s="88" t="s">
        <v>107</v>
      </c>
      <c r="E39" s="88"/>
      <c r="F39" s="76"/>
      <c r="G39" s="76"/>
      <c r="H39" s="76"/>
      <c r="I39" s="89" t="s">
        <v>7</v>
      </c>
      <c r="J39" s="89">
        <v>2021</v>
      </c>
      <c r="K39" s="76">
        <v>26</v>
      </c>
      <c r="L39" s="76">
        <v>2</v>
      </c>
      <c r="M39" s="76">
        <v>0</v>
      </c>
      <c r="N39" s="76">
        <v>26</v>
      </c>
      <c r="O39" s="77"/>
      <c r="P39" s="77">
        <v>0</v>
      </c>
      <c r="Q39" s="77">
        <v>0</v>
      </c>
      <c r="R39" s="77">
        <v>0</v>
      </c>
      <c r="S39" s="77">
        <v>0</v>
      </c>
      <c r="T39" s="77">
        <v>0</v>
      </c>
      <c r="U39" s="77">
        <v>0</v>
      </c>
      <c r="V39" s="77">
        <v>0</v>
      </c>
      <c r="W39" s="77">
        <v>0</v>
      </c>
      <c r="X39" s="77">
        <v>0</v>
      </c>
      <c r="Y39" s="77">
        <v>0</v>
      </c>
      <c r="Z39" s="77">
        <v>0</v>
      </c>
      <c r="AA39" s="78">
        <v>0.1</v>
      </c>
      <c r="AB39" s="77">
        <v>0</v>
      </c>
      <c r="AC39" s="77">
        <v>0</v>
      </c>
      <c r="AD39" s="77">
        <v>0</v>
      </c>
      <c r="AE39" s="77">
        <v>0</v>
      </c>
      <c r="AF39" s="77">
        <v>0</v>
      </c>
      <c r="AG39" s="79">
        <v>0</v>
      </c>
      <c r="AH39" s="80" t="s">
        <v>191</v>
      </c>
      <c r="AI39" s="80" t="s">
        <v>241</v>
      </c>
      <c r="AJ39" s="81">
        <v>10000000036</v>
      </c>
      <c r="AK39" s="92"/>
    </row>
    <row r="40" spans="1:37" ht="15.6" x14ac:dyDescent="0.3">
      <c r="A40" s="92"/>
      <c r="B40" s="88">
        <v>37</v>
      </c>
      <c r="C40" s="76" t="s">
        <v>132</v>
      </c>
      <c r="D40" s="88" t="s">
        <v>108</v>
      </c>
      <c r="E40" s="88"/>
      <c r="F40" s="76"/>
      <c r="G40" s="76"/>
      <c r="H40" s="76"/>
      <c r="I40" s="89" t="s">
        <v>7</v>
      </c>
      <c r="J40" s="89">
        <v>2021</v>
      </c>
      <c r="K40" s="76">
        <v>26</v>
      </c>
      <c r="L40" s="76">
        <v>2</v>
      </c>
      <c r="M40" s="76">
        <v>2</v>
      </c>
      <c r="N40" s="76">
        <v>26</v>
      </c>
      <c r="O40" s="77"/>
      <c r="P40" s="77">
        <v>0</v>
      </c>
      <c r="Q40" s="77">
        <v>0</v>
      </c>
      <c r="R40" s="77">
        <v>0</v>
      </c>
      <c r="S40" s="77">
        <v>0</v>
      </c>
      <c r="T40" s="77">
        <v>0</v>
      </c>
      <c r="U40" s="77">
        <v>0</v>
      </c>
      <c r="V40" s="77">
        <v>0</v>
      </c>
      <c r="W40" s="77">
        <v>0</v>
      </c>
      <c r="X40" s="77">
        <v>0</v>
      </c>
      <c r="Y40" s="77">
        <v>0</v>
      </c>
      <c r="Z40" s="77">
        <v>0</v>
      </c>
      <c r="AA40" s="78">
        <v>0.1</v>
      </c>
      <c r="AB40" s="77">
        <v>0</v>
      </c>
      <c r="AC40" s="77">
        <v>0</v>
      </c>
      <c r="AD40" s="77">
        <v>0</v>
      </c>
      <c r="AE40" s="77">
        <v>0</v>
      </c>
      <c r="AF40" s="77">
        <v>0</v>
      </c>
      <c r="AG40" s="79">
        <v>0</v>
      </c>
      <c r="AH40" s="80" t="s">
        <v>192</v>
      </c>
      <c r="AI40" s="80" t="s">
        <v>242</v>
      </c>
      <c r="AJ40" s="81">
        <v>10000000037</v>
      </c>
      <c r="AK40" s="92"/>
    </row>
    <row r="41" spans="1:37" ht="15.6" x14ac:dyDescent="0.3">
      <c r="A41" s="92"/>
      <c r="B41" s="88">
        <v>38</v>
      </c>
      <c r="C41" s="76" t="s">
        <v>133</v>
      </c>
      <c r="D41" s="88" t="s">
        <v>109</v>
      </c>
      <c r="E41" s="88"/>
      <c r="F41" s="76"/>
      <c r="G41" s="76"/>
      <c r="H41" s="76"/>
      <c r="I41" s="89" t="s">
        <v>7</v>
      </c>
      <c r="J41" s="89">
        <v>2021</v>
      </c>
      <c r="K41" s="76">
        <v>26</v>
      </c>
      <c r="L41" s="76">
        <v>2</v>
      </c>
      <c r="M41" s="76">
        <v>0</v>
      </c>
      <c r="N41" s="76">
        <v>26</v>
      </c>
      <c r="O41" s="77"/>
      <c r="P41" s="77">
        <v>0</v>
      </c>
      <c r="Q41" s="77">
        <v>0</v>
      </c>
      <c r="R41" s="77">
        <v>0</v>
      </c>
      <c r="S41" s="77">
        <v>0</v>
      </c>
      <c r="T41" s="77">
        <v>0</v>
      </c>
      <c r="U41" s="77">
        <v>0</v>
      </c>
      <c r="V41" s="77">
        <v>0</v>
      </c>
      <c r="W41" s="77">
        <v>0</v>
      </c>
      <c r="X41" s="77">
        <v>0</v>
      </c>
      <c r="Y41" s="77">
        <v>0</v>
      </c>
      <c r="Z41" s="77">
        <v>0</v>
      </c>
      <c r="AA41" s="78">
        <v>0.1</v>
      </c>
      <c r="AB41" s="77">
        <v>0</v>
      </c>
      <c r="AC41" s="77">
        <v>0</v>
      </c>
      <c r="AD41" s="77">
        <v>0</v>
      </c>
      <c r="AE41" s="77">
        <v>0</v>
      </c>
      <c r="AF41" s="77">
        <v>0</v>
      </c>
      <c r="AG41" s="79">
        <v>0</v>
      </c>
      <c r="AH41" s="80" t="s">
        <v>193</v>
      </c>
      <c r="AI41" s="80" t="s">
        <v>243</v>
      </c>
      <c r="AJ41" s="81">
        <v>10000000038</v>
      </c>
      <c r="AK41" s="92"/>
    </row>
    <row r="42" spans="1:37" ht="15.6" x14ac:dyDescent="0.3">
      <c r="A42" s="92"/>
      <c r="B42" s="88">
        <v>39</v>
      </c>
      <c r="C42" s="76" t="s">
        <v>134</v>
      </c>
      <c r="D42" s="88" t="s">
        <v>110</v>
      </c>
      <c r="E42" s="88"/>
      <c r="F42" s="76"/>
      <c r="G42" s="76"/>
      <c r="H42" s="76"/>
      <c r="I42" s="89" t="s">
        <v>7</v>
      </c>
      <c r="J42" s="89">
        <v>2021</v>
      </c>
      <c r="K42" s="76">
        <v>26</v>
      </c>
      <c r="L42" s="76">
        <v>2</v>
      </c>
      <c r="M42" s="76">
        <v>0</v>
      </c>
      <c r="N42" s="76">
        <v>26</v>
      </c>
      <c r="O42" s="77"/>
      <c r="P42" s="77">
        <v>0</v>
      </c>
      <c r="Q42" s="77">
        <v>0</v>
      </c>
      <c r="R42" s="77">
        <v>0</v>
      </c>
      <c r="S42" s="77">
        <v>0</v>
      </c>
      <c r="T42" s="77">
        <v>0</v>
      </c>
      <c r="U42" s="77">
        <v>0</v>
      </c>
      <c r="V42" s="77">
        <v>0</v>
      </c>
      <c r="W42" s="77">
        <v>0</v>
      </c>
      <c r="X42" s="77">
        <v>0</v>
      </c>
      <c r="Y42" s="77">
        <v>0</v>
      </c>
      <c r="Z42" s="77">
        <v>0</v>
      </c>
      <c r="AA42" s="78">
        <v>0.1</v>
      </c>
      <c r="AB42" s="77">
        <v>0</v>
      </c>
      <c r="AC42" s="77">
        <v>0</v>
      </c>
      <c r="AD42" s="77">
        <v>0</v>
      </c>
      <c r="AE42" s="77">
        <v>0</v>
      </c>
      <c r="AF42" s="77">
        <v>0</v>
      </c>
      <c r="AG42" s="79">
        <v>0</v>
      </c>
      <c r="AH42" s="80" t="s">
        <v>194</v>
      </c>
      <c r="AI42" s="80" t="s">
        <v>244</v>
      </c>
      <c r="AJ42" s="81">
        <v>10000000039</v>
      </c>
      <c r="AK42" s="92"/>
    </row>
    <row r="43" spans="1:37" ht="15.6" x14ac:dyDescent="0.3">
      <c r="A43" s="92"/>
      <c r="B43" s="88">
        <v>40</v>
      </c>
      <c r="C43" s="76" t="s">
        <v>135</v>
      </c>
      <c r="D43" s="88" t="s">
        <v>111</v>
      </c>
      <c r="E43" s="88"/>
      <c r="F43" s="76"/>
      <c r="G43" s="76"/>
      <c r="H43" s="76"/>
      <c r="I43" s="89" t="s">
        <v>7</v>
      </c>
      <c r="J43" s="89">
        <v>2021</v>
      </c>
      <c r="K43" s="76">
        <v>26</v>
      </c>
      <c r="L43" s="76">
        <v>2</v>
      </c>
      <c r="M43" s="76">
        <v>0</v>
      </c>
      <c r="N43" s="76">
        <v>26</v>
      </c>
      <c r="O43" s="77"/>
      <c r="P43" s="77">
        <v>0</v>
      </c>
      <c r="Q43" s="77">
        <v>0</v>
      </c>
      <c r="R43" s="77">
        <v>0</v>
      </c>
      <c r="S43" s="77">
        <v>0</v>
      </c>
      <c r="T43" s="77">
        <v>0</v>
      </c>
      <c r="U43" s="77">
        <v>0</v>
      </c>
      <c r="V43" s="77">
        <v>0</v>
      </c>
      <c r="W43" s="77">
        <v>0</v>
      </c>
      <c r="X43" s="77">
        <v>0</v>
      </c>
      <c r="Y43" s="77">
        <v>0</v>
      </c>
      <c r="Z43" s="77">
        <v>0</v>
      </c>
      <c r="AA43" s="78">
        <v>0.1</v>
      </c>
      <c r="AB43" s="77">
        <v>0</v>
      </c>
      <c r="AC43" s="77">
        <v>0</v>
      </c>
      <c r="AD43" s="77">
        <v>0</v>
      </c>
      <c r="AE43" s="77">
        <v>0</v>
      </c>
      <c r="AF43" s="77">
        <v>0</v>
      </c>
      <c r="AG43" s="79">
        <v>0</v>
      </c>
      <c r="AH43" s="80" t="s">
        <v>195</v>
      </c>
      <c r="AI43" s="80" t="s">
        <v>245</v>
      </c>
      <c r="AJ43" s="81">
        <v>10000000040</v>
      </c>
      <c r="AK43" s="92"/>
    </row>
    <row r="44" spans="1:37" ht="15.6" x14ac:dyDescent="0.3">
      <c r="A44" s="92"/>
      <c r="B44" s="88">
        <v>41</v>
      </c>
      <c r="C44" s="76" t="s">
        <v>136</v>
      </c>
      <c r="D44" s="88" t="s">
        <v>112</v>
      </c>
      <c r="E44" s="88"/>
      <c r="F44" s="76"/>
      <c r="G44" s="76"/>
      <c r="H44" s="76"/>
      <c r="I44" s="89" t="s">
        <v>7</v>
      </c>
      <c r="J44" s="89">
        <v>2021</v>
      </c>
      <c r="K44" s="76">
        <v>26</v>
      </c>
      <c r="L44" s="76">
        <v>2</v>
      </c>
      <c r="M44" s="76">
        <v>0</v>
      </c>
      <c r="N44" s="76">
        <v>26</v>
      </c>
      <c r="O44" s="77"/>
      <c r="P44" s="77">
        <v>0</v>
      </c>
      <c r="Q44" s="77">
        <v>0</v>
      </c>
      <c r="R44" s="77">
        <v>0</v>
      </c>
      <c r="S44" s="77">
        <v>0</v>
      </c>
      <c r="T44" s="77">
        <v>0</v>
      </c>
      <c r="U44" s="77">
        <v>0</v>
      </c>
      <c r="V44" s="77">
        <v>0</v>
      </c>
      <c r="W44" s="77">
        <v>0</v>
      </c>
      <c r="X44" s="77">
        <v>0</v>
      </c>
      <c r="Y44" s="77">
        <v>0</v>
      </c>
      <c r="Z44" s="77">
        <v>0</v>
      </c>
      <c r="AA44" s="78">
        <v>0.1</v>
      </c>
      <c r="AB44" s="77">
        <v>0</v>
      </c>
      <c r="AC44" s="77">
        <v>0</v>
      </c>
      <c r="AD44" s="77">
        <v>0</v>
      </c>
      <c r="AE44" s="77">
        <v>0</v>
      </c>
      <c r="AF44" s="77">
        <v>0</v>
      </c>
      <c r="AG44" s="79">
        <v>0</v>
      </c>
      <c r="AH44" s="80" t="s">
        <v>196</v>
      </c>
      <c r="AI44" s="80" t="s">
        <v>246</v>
      </c>
      <c r="AJ44" s="81">
        <v>10000000041</v>
      </c>
      <c r="AK44" s="92"/>
    </row>
    <row r="45" spans="1:37" ht="15.6" x14ac:dyDescent="0.3">
      <c r="A45" s="92"/>
      <c r="B45" s="88">
        <v>42</v>
      </c>
      <c r="C45" s="76" t="s">
        <v>137</v>
      </c>
      <c r="D45" s="88" t="s">
        <v>113</v>
      </c>
      <c r="E45" s="88"/>
      <c r="F45" s="76"/>
      <c r="G45" s="76"/>
      <c r="H45" s="76"/>
      <c r="I45" s="89" t="s">
        <v>7</v>
      </c>
      <c r="J45" s="89">
        <v>2021</v>
      </c>
      <c r="K45" s="76">
        <v>26</v>
      </c>
      <c r="L45" s="76">
        <v>2</v>
      </c>
      <c r="M45" s="76">
        <v>0</v>
      </c>
      <c r="N45" s="76">
        <v>26</v>
      </c>
      <c r="O45" s="77"/>
      <c r="P45" s="77">
        <v>0</v>
      </c>
      <c r="Q45" s="77">
        <v>0</v>
      </c>
      <c r="R45" s="77">
        <v>0</v>
      </c>
      <c r="S45" s="77">
        <v>0</v>
      </c>
      <c r="T45" s="77">
        <v>0</v>
      </c>
      <c r="U45" s="77">
        <v>0</v>
      </c>
      <c r="V45" s="77">
        <v>0</v>
      </c>
      <c r="W45" s="77">
        <v>0</v>
      </c>
      <c r="X45" s="77">
        <v>0</v>
      </c>
      <c r="Y45" s="77">
        <v>0</v>
      </c>
      <c r="Z45" s="77">
        <v>0</v>
      </c>
      <c r="AA45" s="78">
        <v>0.1</v>
      </c>
      <c r="AB45" s="77">
        <v>0</v>
      </c>
      <c r="AC45" s="77">
        <v>0</v>
      </c>
      <c r="AD45" s="77">
        <v>0</v>
      </c>
      <c r="AE45" s="77">
        <v>0</v>
      </c>
      <c r="AF45" s="77">
        <v>0</v>
      </c>
      <c r="AG45" s="79">
        <v>0</v>
      </c>
      <c r="AH45" s="80" t="s">
        <v>197</v>
      </c>
      <c r="AI45" s="80" t="s">
        <v>247</v>
      </c>
      <c r="AJ45" s="81">
        <v>10000000042</v>
      </c>
      <c r="AK45" s="92"/>
    </row>
    <row r="46" spans="1:37" ht="15.6" x14ac:dyDescent="0.3">
      <c r="A46" s="92"/>
      <c r="B46" s="88">
        <v>43</v>
      </c>
      <c r="C46" s="76" t="s">
        <v>138</v>
      </c>
      <c r="D46" s="88" t="s">
        <v>114</v>
      </c>
      <c r="E46" s="88"/>
      <c r="F46" s="76"/>
      <c r="G46" s="76"/>
      <c r="H46" s="76"/>
      <c r="I46" s="89" t="s">
        <v>7</v>
      </c>
      <c r="J46" s="89">
        <v>2021</v>
      </c>
      <c r="K46" s="76">
        <v>26</v>
      </c>
      <c r="L46" s="76">
        <v>2</v>
      </c>
      <c r="M46" s="76">
        <v>0</v>
      </c>
      <c r="N46" s="76">
        <v>26</v>
      </c>
      <c r="O46" s="77"/>
      <c r="P46" s="77">
        <v>0</v>
      </c>
      <c r="Q46" s="77">
        <v>0</v>
      </c>
      <c r="R46" s="77">
        <v>0</v>
      </c>
      <c r="S46" s="77">
        <v>0</v>
      </c>
      <c r="T46" s="77">
        <v>0</v>
      </c>
      <c r="U46" s="77">
        <v>0</v>
      </c>
      <c r="V46" s="77">
        <v>0</v>
      </c>
      <c r="W46" s="77">
        <v>0</v>
      </c>
      <c r="X46" s="77">
        <v>0</v>
      </c>
      <c r="Y46" s="77">
        <v>0</v>
      </c>
      <c r="Z46" s="77">
        <v>0</v>
      </c>
      <c r="AA46" s="78">
        <v>0.1</v>
      </c>
      <c r="AB46" s="77">
        <v>0</v>
      </c>
      <c r="AC46" s="77">
        <v>0</v>
      </c>
      <c r="AD46" s="77">
        <v>0</v>
      </c>
      <c r="AE46" s="77">
        <v>0</v>
      </c>
      <c r="AF46" s="77">
        <v>0</v>
      </c>
      <c r="AG46" s="79">
        <v>0</v>
      </c>
      <c r="AH46" s="80" t="s">
        <v>198</v>
      </c>
      <c r="AI46" s="80" t="s">
        <v>248</v>
      </c>
      <c r="AJ46" s="81">
        <v>10000000043</v>
      </c>
      <c r="AK46" s="92"/>
    </row>
    <row r="47" spans="1:37" ht="15.6" x14ac:dyDescent="0.3">
      <c r="A47" s="92"/>
      <c r="B47" s="88">
        <v>44</v>
      </c>
      <c r="C47" s="76" t="s">
        <v>139</v>
      </c>
      <c r="D47" s="88" t="s">
        <v>115</v>
      </c>
      <c r="E47" s="88"/>
      <c r="F47" s="76"/>
      <c r="G47" s="76"/>
      <c r="H47" s="76"/>
      <c r="I47" s="89" t="s">
        <v>7</v>
      </c>
      <c r="J47" s="89">
        <v>2021</v>
      </c>
      <c r="K47" s="76">
        <v>26</v>
      </c>
      <c r="L47" s="76">
        <v>2</v>
      </c>
      <c r="M47" s="76">
        <v>4</v>
      </c>
      <c r="N47" s="76">
        <v>24</v>
      </c>
      <c r="O47" s="77"/>
      <c r="P47" s="77">
        <v>0</v>
      </c>
      <c r="Q47" s="77">
        <v>0</v>
      </c>
      <c r="R47" s="77">
        <v>0</v>
      </c>
      <c r="S47" s="77">
        <v>0</v>
      </c>
      <c r="T47" s="77">
        <v>0</v>
      </c>
      <c r="U47" s="77">
        <v>0</v>
      </c>
      <c r="V47" s="77">
        <v>0</v>
      </c>
      <c r="W47" s="77">
        <v>0</v>
      </c>
      <c r="X47" s="77">
        <v>0</v>
      </c>
      <c r="Y47" s="77">
        <v>0</v>
      </c>
      <c r="Z47" s="77">
        <v>0</v>
      </c>
      <c r="AA47" s="78">
        <v>0.1</v>
      </c>
      <c r="AB47" s="77">
        <v>0</v>
      </c>
      <c r="AC47" s="77">
        <v>0</v>
      </c>
      <c r="AD47" s="77">
        <v>0</v>
      </c>
      <c r="AE47" s="77">
        <v>0</v>
      </c>
      <c r="AF47" s="77">
        <v>0</v>
      </c>
      <c r="AG47" s="79">
        <v>0</v>
      </c>
      <c r="AH47" s="80" t="s">
        <v>199</v>
      </c>
      <c r="AI47" s="80" t="s">
        <v>249</v>
      </c>
      <c r="AJ47" s="81">
        <v>10000000044</v>
      </c>
      <c r="AK47" s="92"/>
    </row>
    <row r="48" spans="1:37" ht="15.6" x14ac:dyDescent="0.3">
      <c r="A48" s="92"/>
      <c r="B48" s="88">
        <v>45</v>
      </c>
      <c r="C48" s="76" t="s">
        <v>140</v>
      </c>
      <c r="D48" s="88" t="s">
        <v>119</v>
      </c>
      <c r="E48" s="88"/>
      <c r="F48" s="76"/>
      <c r="G48" s="76"/>
      <c r="H48" s="76"/>
      <c r="I48" s="89" t="s">
        <v>7</v>
      </c>
      <c r="J48" s="89">
        <v>2021</v>
      </c>
      <c r="K48" s="76">
        <v>26</v>
      </c>
      <c r="L48" s="76">
        <v>2</v>
      </c>
      <c r="M48" s="76">
        <v>0</v>
      </c>
      <c r="N48" s="76">
        <v>26</v>
      </c>
      <c r="O48" s="77"/>
      <c r="P48" s="77">
        <v>0</v>
      </c>
      <c r="Q48" s="77">
        <v>0</v>
      </c>
      <c r="R48" s="77">
        <v>0</v>
      </c>
      <c r="S48" s="77">
        <v>0</v>
      </c>
      <c r="T48" s="77">
        <v>0</v>
      </c>
      <c r="U48" s="77">
        <v>0</v>
      </c>
      <c r="V48" s="77">
        <v>0</v>
      </c>
      <c r="W48" s="77">
        <v>0</v>
      </c>
      <c r="X48" s="77">
        <v>0</v>
      </c>
      <c r="Y48" s="77">
        <v>0</v>
      </c>
      <c r="Z48" s="77">
        <v>0</v>
      </c>
      <c r="AA48" s="78">
        <v>0.1</v>
      </c>
      <c r="AB48" s="77">
        <v>0</v>
      </c>
      <c r="AC48" s="77">
        <v>0</v>
      </c>
      <c r="AD48" s="77">
        <v>0</v>
      </c>
      <c r="AE48" s="77">
        <v>0</v>
      </c>
      <c r="AF48" s="77">
        <v>0</v>
      </c>
      <c r="AG48" s="79">
        <v>0</v>
      </c>
      <c r="AH48" s="80" t="s">
        <v>200</v>
      </c>
      <c r="AI48" s="80" t="s">
        <v>250</v>
      </c>
      <c r="AJ48" s="81">
        <v>10000000045</v>
      </c>
      <c r="AK48" s="92"/>
    </row>
    <row r="49" spans="1:37" ht="15.6" x14ac:dyDescent="0.3">
      <c r="A49" s="92"/>
      <c r="B49" s="88">
        <v>46</v>
      </c>
      <c r="C49" s="76" t="s">
        <v>141</v>
      </c>
      <c r="D49" s="88" t="s">
        <v>116</v>
      </c>
      <c r="E49" s="88"/>
      <c r="F49" s="76"/>
      <c r="G49" s="76"/>
      <c r="H49" s="76"/>
      <c r="I49" s="89" t="s">
        <v>7</v>
      </c>
      <c r="J49" s="89">
        <v>2021</v>
      </c>
      <c r="K49" s="76">
        <v>26</v>
      </c>
      <c r="L49" s="76">
        <v>2</v>
      </c>
      <c r="M49" s="76">
        <v>0</v>
      </c>
      <c r="N49" s="76">
        <v>26</v>
      </c>
      <c r="O49" s="77"/>
      <c r="P49" s="77">
        <v>0</v>
      </c>
      <c r="Q49" s="77">
        <v>0</v>
      </c>
      <c r="R49" s="77">
        <v>0</v>
      </c>
      <c r="S49" s="77">
        <v>0</v>
      </c>
      <c r="T49" s="77">
        <v>0</v>
      </c>
      <c r="U49" s="77">
        <v>0</v>
      </c>
      <c r="V49" s="77">
        <v>0</v>
      </c>
      <c r="W49" s="77">
        <v>0</v>
      </c>
      <c r="X49" s="77">
        <v>0</v>
      </c>
      <c r="Y49" s="77">
        <v>0</v>
      </c>
      <c r="Z49" s="77">
        <v>0</v>
      </c>
      <c r="AA49" s="78">
        <v>0.1</v>
      </c>
      <c r="AB49" s="77">
        <v>0</v>
      </c>
      <c r="AC49" s="77">
        <v>0</v>
      </c>
      <c r="AD49" s="77">
        <v>0</v>
      </c>
      <c r="AE49" s="77">
        <v>0</v>
      </c>
      <c r="AF49" s="77">
        <v>0</v>
      </c>
      <c r="AG49" s="79">
        <v>0</v>
      </c>
      <c r="AH49" s="80" t="s">
        <v>201</v>
      </c>
      <c r="AI49" s="80" t="s">
        <v>251</v>
      </c>
      <c r="AJ49" s="81">
        <v>10000000046</v>
      </c>
      <c r="AK49" s="92"/>
    </row>
    <row r="50" spans="1:37" ht="15.6" x14ac:dyDescent="0.3">
      <c r="A50" s="92"/>
      <c r="B50" s="88">
        <v>47</v>
      </c>
      <c r="C50" s="76" t="s">
        <v>142</v>
      </c>
      <c r="D50" s="88" t="s">
        <v>117</v>
      </c>
      <c r="E50" s="88"/>
      <c r="F50" s="76"/>
      <c r="G50" s="76"/>
      <c r="H50" s="76"/>
      <c r="I50" s="89" t="s">
        <v>7</v>
      </c>
      <c r="J50" s="89">
        <v>2021</v>
      </c>
      <c r="K50" s="76">
        <v>26</v>
      </c>
      <c r="L50" s="76">
        <v>2</v>
      </c>
      <c r="M50" s="76">
        <v>2</v>
      </c>
      <c r="N50" s="76">
        <v>26</v>
      </c>
      <c r="O50" s="77"/>
      <c r="P50" s="77">
        <v>0</v>
      </c>
      <c r="Q50" s="77">
        <v>0</v>
      </c>
      <c r="R50" s="77">
        <v>0</v>
      </c>
      <c r="S50" s="77">
        <v>0</v>
      </c>
      <c r="T50" s="77">
        <v>0</v>
      </c>
      <c r="U50" s="77">
        <v>0</v>
      </c>
      <c r="V50" s="77">
        <v>0</v>
      </c>
      <c r="W50" s="77">
        <v>0</v>
      </c>
      <c r="X50" s="77">
        <v>0</v>
      </c>
      <c r="Y50" s="77">
        <v>0</v>
      </c>
      <c r="Z50" s="77">
        <v>0</v>
      </c>
      <c r="AA50" s="78">
        <v>0.1</v>
      </c>
      <c r="AB50" s="77">
        <v>0</v>
      </c>
      <c r="AC50" s="77">
        <v>0</v>
      </c>
      <c r="AD50" s="77">
        <v>0</v>
      </c>
      <c r="AE50" s="77">
        <v>0</v>
      </c>
      <c r="AF50" s="77">
        <v>0</v>
      </c>
      <c r="AG50" s="79">
        <v>0</v>
      </c>
      <c r="AH50" s="80" t="s">
        <v>202</v>
      </c>
      <c r="AI50" s="80" t="s">
        <v>252</v>
      </c>
      <c r="AJ50" s="81">
        <v>10000000047</v>
      </c>
      <c r="AK50" s="92"/>
    </row>
    <row r="51" spans="1:37" ht="15.6" x14ac:dyDescent="0.3">
      <c r="A51" s="92"/>
      <c r="B51" s="88">
        <v>48</v>
      </c>
      <c r="C51" s="76" t="s">
        <v>143</v>
      </c>
      <c r="D51" s="88" t="s">
        <v>118</v>
      </c>
      <c r="E51" s="88"/>
      <c r="F51" s="76"/>
      <c r="G51" s="76"/>
      <c r="H51" s="76"/>
      <c r="I51" s="89" t="s">
        <v>7</v>
      </c>
      <c r="J51" s="89">
        <v>2021</v>
      </c>
      <c r="K51" s="76">
        <v>26</v>
      </c>
      <c r="L51" s="76">
        <v>2</v>
      </c>
      <c r="M51" s="76">
        <v>0</v>
      </c>
      <c r="N51" s="76">
        <v>26</v>
      </c>
      <c r="O51" s="77"/>
      <c r="P51" s="77">
        <v>0</v>
      </c>
      <c r="Q51" s="77">
        <v>0</v>
      </c>
      <c r="R51" s="77">
        <v>0</v>
      </c>
      <c r="S51" s="77">
        <v>0</v>
      </c>
      <c r="T51" s="77">
        <v>0</v>
      </c>
      <c r="U51" s="77">
        <v>0</v>
      </c>
      <c r="V51" s="77">
        <v>0</v>
      </c>
      <c r="W51" s="77">
        <v>0</v>
      </c>
      <c r="X51" s="77">
        <v>0</v>
      </c>
      <c r="Y51" s="77">
        <v>0</v>
      </c>
      <c r="Z51" s="77">
        <v>0</v>
      </c>
      <c r="AA51" s="78">
        <v>0.1</v>
      </c>
      <c r="AB51" s="77">
        <v>0</v>
      </c>
      <c r="AC51" s="77">
        <v>0</v>
      </c>
      <c r="AD51" s="77">
        <v>0</v>
      </c>
      <c r="AE51" s="77">
        <v>0</v>
      </c>
      <c r="AF51" s="77">
        <v>0</v>
      </c>
      <c r="AG51" s="79">
        <v>0</v>
      </c>
      <c r="AH51" s="80" t="s">
        <v>203</v>
      </c>
      <c r="AI51" s="80" t="s">
        <v>253</v>
      </c>
      <c r="AJ51" s="81">
        <v>10000000048</v>
      </c>
      <c r="AK51" s="92"/>
    </row>
    <row r="52" spans="1:37" ht="15.6" x14ac:dyDescent="0.3">
      <c r="A52" s="92"/>
      <c r="B52" s="88">
        <v>49</v>
      </c>
      <c r="C52" s="76" t="s">
        <v>144</v>
      </c>
      <c r="D52" s="88" t="s">
        <v>120</v>
      </c>
      <c r="E52" s="88"/>
      <c r="F52" s="76"/>
      <c r="G52" s="76"/>
      <c r="H52" s="76"/>
      <c r="I52" s="89" t="s">
        <v>7</v>
      </c>
      <c r="J52" s="89">
        <v>2021</v>
      </c>
      <c r="K52" s="76">
        <v>26</v>
      </c>
      <c r="L52" s="76">
        <v>2</v>
      </c>
      <c r="M52" s="76">
        <v>0</v>
      </c>
      <c r="N52" s="76">
        <v>26</v>
      </c>
      <c r="O52" s="77"/>
      <c r="P52" s="77">
        <v>0</v>
      </c>
      <c r="Q52" s="77">
        <v>0</v>
      </c>
      <c r="R52" s="77">
        <v>0</v>
      </c>
      <c r="S52" s="77">
        <v>0</v>
      </c>
      <c r="T52" s="77">
        <v>0</v>
      </c>
      <c r="U52" s="77">
        <v>0</v>
      </c>
      <c r="V52" s="77">
        <v>0</v>
      </c>
      <c r="W52" s="77">
        <v>0</v>
      </c>
      <c r="X52" s="77">
        <v>0</v>
      </c>
      <c r="Y52" s="77">
        <v>0</v>
      </c>
      <c r="Z52" s="77">
        <v>0</v>
      </c>
      <c r="AA52" s="78">
        <v>0.1</v>
      </c>
      <c r="AB52" s="77">
        <v>0</v>
      </c>
      <c r="AC52" s="77">
        <v>0</v>
      </c>
      <c r="AD52" s="77">
        <v>0</v>
      </c>
      <c r="AE52" s="77">
        <v>0</v>
      </c>
      <c r="AF52" s="77">
        <v>0</v>
      </c>
      <c r="AG52" s="79">
        <v>0</v>
      </c>
      <c r="AH52" s="80" t="s">
        <v>204</v>
      </c>
      <c r="AI52" s="80" t="s">
        <v>254</v>
      </c>
      <c r="AJ52" s="81">
        <v>10000000049</v>
      </c>
      <c r="AK52" s="92"/>
    </row>
    <row r="53" spans="1:37" ht="15.6" x14ac:dyDescent="0.3">
      <c r="B53" s="88">
        <v>50</v>
      </c>
      <c r="C53" s="76" t="s">
        <v>145</v>
      </c>
      <c r="D53" s="88" t="s">
        <v>121</v>
      </c>
      <c r="E53" s="88"/>
      <c r="F53" s="76"/>
      <c r="G53" s="76"/>
      <c r="H53" s="76"/>
      <c r="I53" s="89" t="s">
        <v>7</v>
      </c>
      <c r="J53" s="89">
        <v>2021</v>
      </c>
      <c r="K53" s="76">
        <v>26</v>
      </c>
      <c r="L53" s="76">
        <v>2</v>
      </c>
      <c r="M53" s="76">
        <v>0</v>
      </c>
      <c r="N53" s="76">
        <v>26</v>
      </c>
      <c r="O53" s="77"/>
      <c r="P53" s="77">
        <v>0</v>
      </c>
      <c r="Q53" s="77">
        <v>0</v>
      </c>
      <c r="R53" s="77">
        <v>0</v>
      </c>
      <c r="S53" s="77">
        <v>0</v>
      </c>
      <c r="T53" s="77">
        <v>0</v>
      </c>
      <c r="U53" s="77">
        <v>0</v>
      </c>
      <c r="V53" s="77">
        <v>0</v>
      </c>
      <c r="W53" s="77">
        <v>0</v>
      </c>
      <c r="X53" s="77">
        <v>0</v>
      </c>
      <c r="Y53" s="77">
        <v>0</v>
      </c>
      <c r="Z53" s="77">
        <v>0</v>
      </c>
      <c r="AA53" s="78">
        <v>0.1</v>
      </c>
      <c r="AB53" s="77">
        <v>0</v>
      </c>
      <c r="AC53" s="77">
        <v>0</v>
      </c>
      <c r="AD53" s="77">
        <v>0</v>
      </c>
      <c r="AE53" s="77">
        <v>0</v>
      </c>
      <c r="AF53" s="77">
        <v>0</v>
      </c>
      <c r="AG53" s="79">
        <v>0</v>
      </c>
      <c r="AH53" s="82" t="s">
        <v>205</v>
      </c>
      <c r="AI53" s="82" t="s">
        <v>255</v>
      </c>
      <c r="AJ53" s="82">
        <v>10000000050</v>
      </c>
    </row>
    <row r="54" spans="1:37" ht="15.6" x14ac:dyDescent="0.3">
      <c r="B54" s="88">
        <v>1</v>
      </c>
      <c r="C54" s="76" t="s">
        <v>31</v>
      </c>
      <c r="D54" s="88" t="s">
        <v>10</v>
      </c>
      <c r="E54" s="88" t="s">
        <v>57</v>
      </c>
      <c r="F54" s="76" t="s">
        <v>264</v>
      </c>
      <c r="G54" s="76" t="s">
        <v>78</v>
      </c>
      <c r="H54" s="76" t="s">
        <v>269</v>
      </c>
      <c r="I54" s="89" t="s">
        <v>295</v>
      </c>
      <c r="J54" s="89">
        <v>2021</v>
      </c>
      <c r="K54" s="76">
        <v>26</v>
      </c>
      <c r="L54" s="76">
        <v>2</v>
      </c>
      <c r="M54" s="76">
        <v>5</v>
      </c>
      <c r="N54" s="76">
        <v>23</v>
      </c>
      <c r="O54" s="77">
        <v>25000</v>
      </c>
      <c r="P54" s="77">
        <v>13269.23076923077</v>
      </c>
      <c r="Q54" s="77">
        <v>5869.0828402366869</v>
      </c>
      <c r="R54" s="77">
        <v>1200</v>
      </c>
      <c r="S54" s="77">
        <v>1061.5384615384614</v>
      </c>
      <c r="T54" s="77">
        <v>1250</v>
      </c>
      <c r="U54" s="77">
        <v>1105.7692307692309</v>
      </c>
      <c r="V54" s="77">
        <v>3411.6863905325445</v>
      </c>
      <c r="W54" s="77">
        <v>3018.0302685480201</v>
      </c>
      <c r="X54" s="77">
        <v>11054.420801092399</v>
      </c>
      <c r="Y54" s="77">
        <v>24323.651570323171</v>
      </c>
      <c r="Z54" s="77">
        <v>200</v>
      </c>
      <c r="AA54" s="78">
        <v>0.1</v>
      </c>
      <c r="AB54" s="77">
        <v>0</v>
      </c>
      <c r="AC54" s="77">
        <v>2918.8381884387804</v>
      </c>
      <c r="AD54" s="77">
        <v>5000</v>
      </c>
      <c r="AE54" s="77">
        <v>8118.83818843878</v>
      </c>
      <c r="AF54" s="77">
        <v>500</v>
      </c>
      <c r="AG54" s="79">
        <v>16704.813381884393</v>
      </c>
      <c r="AH54" s="82" t="s">
        <v>156</v>
      </c>
      <c r="AI54" s="82" t="s">
        <v>206</v>
      </c>
      <c r="AJ54" s="82">
        <v>10000000001</v>
      </c>
    </row>
    <row r="55" spans="1:37" ht="15.6" x14ac:dyDescent="0.3">
      <c r="B55" s="88">
        <v>2</v>
      </c>
      <c r="C55" s="76" t="s">
        <v>32</v>
      </c>
      <c r="D55" s="88" t="s">
        <v>11</v>
      </c>
      <c r="E55" s="88" t="s">
        <v>58</v>
      </c>
      <c r="F55" s="76" t="s">
        <v>265</v>
      </c>
      <c r="G55" s="76" t="s">
        <v>78</v>
      </c>
      <c r="H55" s="76" t="s">
        <v>269</v>
      </c>
      <c r="I55" s="89" t="s">
        <v>295</v>
      </c>
      <c r="J55" s="89">
        <v>2021</v>
      </c>
      <c r="K55" s="76">
        <v>26</v>
      </c>
      <c r="L55" s="76">
        <v>2</v>
      </c>
      <c r="M55" s="76">
        <v>1</v>
      </c>
      <c r="N55" s="76">
        <v>26</v>
      </c>
      <c r="O55" s="77">
        <v>15000</v>
      </c>
      <c r="P55" s="77">
        <v>9000</v>
      </c>
      <c r="Q55" s="77">
        <v>4500</v>
      </c>
      <c r="R55" s="77">
        <v>1200</v>
      </c>
      <c r="S55" s="77">
        <v>1200</v>
      </c>
      <c r="T55" s="77">
        <v>1000</v>
      </c>
      <c r="U55" s="77">
        <v>1000</v>
      </c>
      <c r="V55" s="77">
        <v>-700</v>
      </c>
      <c r="W55" s="77">
        <v>-700</v>
      </c>
      <c r="X55" s="77">
        <v>6000</v>
      </c>
      <c r="Y55" s="77">
        <v>15000</v>
      </c>
      <c r="Z55" s="77">
        <v>0</v>
      </c>
      <c r="AA55" s="78">
        <v>0.1</v>
      </c>
      <c r="AB55" s="77">
        <v>0</v>
      </c>
      <c r="AC55" s="77">
        <v>1800</v>
      </c>
      <c r="AD55" s="77">
        <v>0</v>
      </c>
      <c r="AE55" s="77">
        <v>1800</v>
      </c>
      <c r="AF55" s="77">
        <v>500</v>
      </c>
      <c r="AG55" s="79">
        <v>13700</v>
      </c>
      <c r="AH55" s="82" t="s">
        <v>157</v>
      </c>
      <c r="AI55" s="82" t="s">
        <v>207</v>
      </c>
      <c r="AJ55" s="82">
        <v>10000000002</v>
      </c>
    </row>
    <row r="56" spans="1:37" ht="15.6" x14ac:dyDescent="0.3">
      <c r="B56" s="88">
        <v>3</v>
      </c>
      <c r="C56" s="76" t="s">
        <v>33</v>
      </c>
      <c r="D56" s="88" t="s">
        <v>12</v>
      </c>
      <c r="E56" s="88" t="s">
        <v>59</v>
      </c>
      <c r="F56" s="76" t="s">
        <v>266</v>
      </c>
      <c r="G56" s="76" t="s">
        <v>78</v>
      </c>
      <c r="H56" s="76" t="s">
        <v>276</v>
      </c>
      <c r="I56" s="89" t="s">
        <v>295</v>
      </c>
      <c r="J56" s="89">
        <v>2021</v>
      </c>
      <c r="K56" s="76">
        <v>26</v>
      </c>
      <c r="L56" s="76">
        <v>2</v>
      </c>
      <c r="M56" s="76">
        <v>2</v>
      </c>
      <c r="N56" s="76">
        <v>26</v>
      </c>
      <c r="O56" s="77">
        <v>18000</v>
      </c>
      <c r="P56" s="77">
        <v>10800</v>
      </c>
      <c r="Q56" s="77">
        <v>5400</v>
      </c>
      <c r="R56" s="77">
        <v>1600</v>
      </c>
      <c r="S56" s="77">
        <v>1600</v>
      </c>
      <c r="T56" s="77">
        <v>1000</v>
      </c>
      <c r="U56" s="77">
        <v>1000</v>
      </c>
      <c r="V56" s="77">
        <v>-800</v>
      </c>
      <c r="W56" s="77">
        <v>-800</v>
      </c>
      <c r="X56" s="77">
        <v>7200</v>
      </c>
      <c r="Y56" s="77">
        <v>18000</v>
      </c>
      <c r="Z56" s="77">
        <v>150</v>
      </c>
      <c r="AA56" s="78">
        <v>0.1</v>
      </c>
      <c r="AB56" s="77">
        <v>0</v>
      </c>
      <c r="AC56" s="77">
        <v>2160</v>
      </c>
      <c r="AD56" s="77">
        <v>0</v>
      </c>
      <c r="AE56" s="77">
        <v>2310</v>
      </c>
      <c r="AF56" s="77">
        <v>500</v>
      </c>
      <c r="AG56" s="79">
        <v>16190</v>
      </c>
      <c r="AH56" s="82" t="s">
        <v>158</v>
      </c>
      <c r="AI56" s="82" t="s">
        <v>208</v>
      </c>
      <c r="AJ56" s="82">
        <v>10000000003</v>
      </c>
    </row>
    <row r="57" spans="1:37" ht="15.6" x14ac:dyDescent="0.3">
      <c r="B57" s="88">
        <v>4</v>
      </c>
      <c r="C57" s="76" t="s">
        <v>34</v>
      </c>
      <c r="D57" s="88" t="s">
        <v>13</v>
      </c>
      <c r="E57" s="88" t="s">
        <v>58</v>
      </c>
      <c r="F57" s="76" t="s">
        <v>267</v>
      </c>
      <c r="G57" s="76" t="s">
        <v>78</v>
      </c>
      <c r="H57" s="76" t="s">
        <v>269</v>
      </c>
      <c r="I57" s="89" t="s">
        <v>295</v>
      </c>
      <c r="J57" s="89">
        <v>2021</v>
      </c>
      <c r="K57" s="76">
        <v>26</v>
      </c>
      <c r="L57" s="76">
        <v>2</v>
      </c>
      <c r="M57" s="76">
        <v>0</v>
      </c>
      <c r="N57" s="76">
        <v>26</v>
      </c>
      <c r="O57" s="77">
        <v>14500</v>
      </c>
      <c r="P57" s="77">
        <v>8700</v>
      </c>
      <c r="Q57" s="77">
        <v>4350</v>
      </c>
      <c r="R57" s="77">
        <v>1200</v>
      </c>
      <c r="S57" s="77">
        <v>1200</v>
      </c>
      <c r="T57" s="77">
        <v>800</v>
      </c>
      <c r="U57" s="77">
        <v>800</v>
      </c>
      <c r="V57" s="77">
        <v>-550</v>
      </c>
      <c r="W57" s="77">
        <v>-550</v>
      </c>
      <c r="X57" s="77">
        <v>5800</v>
      </c>
      <c r="Y57" s="77">
        <v>14500</v>
      </c>
      <c r="Z57" s="77">
        <v>0</v>
      </c>
      <c r="AA57" s="78">
        <v>0.1</v>
      </c>
      <c r="AB57" s="77">
        <v>0</v>
      </c>
      <c r="AC57" s="77">
        <v>1800</v>
      </c>
      <c r="AD57" s="77">
        <v>0</v>
      </c>
      <c r="AE57" s="77">
        <v>1800</v>
      </c>
      <c r="AF57" s="77">
        <v>500</v>
      </c>
      <c r="AG57" s="79">
        <v>13200</v>
      </c>
      <c r="AH57" s="82" t="s">
        <v>159</v>
      </c>
      <c r="AI57" s="82" t="s">
        <v>209</v>
      </c>
      <c r="AJ57" s="82">
        <v>10000000004</v>
      </c>
    </row>
    <row r="58" spans="1:37" ht="15.6" x14ac:dyDescent="0.3">
      <c r="B58" s="88">
        <v>5</v>
      </c>
      <c r="C58" s="76" t="s">
        <v>35</v>
      </c>
      <c r="D58" s="88" t="s">
        <v>14</v>
      </c>
      <c r="E58" s="88" t="s">
        <v>51</v>
      </c>
      <c r="F58" s="76" t="s">
        <v>268</v>
      </c>
      <c r="G58" s="76" t="s">
        <v>78</v>
      </c>
      <c r="H58" s="76" t="s">
        <v>269</v>
      </c>
      <c r="I58" s="89" t="s">
        <v>295</v>
      </c>
      <c r="J58" s="89">
        <v>2021</v>
      </c>
      <c r="K58" s="76">
        <v>26</v>
      </c>
      <c r="L58" s="76">
        <v>2</v>
      </c>
      <c r="M58" s="76">
        <v>2</v>
      </c>
      <c r="N58" s="76">
        <v>26</v>
      </c>
      <c r="O58" s="77">
        <v>15200</v>
      </c>
      <c r="P58" s="77">
        <v>9120</v>
      </c>
      <c r="Q58" s="77">
        <v>4560</v>
      </c>
      <c r="R58" s="77">
        <v>1000</v>
      </c>
      <c r="S58" s="77">
        <v>1000</v>
      </c>
      <c r="T58" s="77">
        <v>1200</v>
      </c>
      <c r="U58" s="77">
        <v>1200</v>
      </c>
      <c r="V58" s="77">
        <v>-680</v>
      </c>
      <c r="W58" s="77">
        <v>-680</v>
      </c>
      <c r="X58" s="77">
        <v>6080</v>
      </c>
      <c r="Y58" s="77">
        <v>15200</v>
      </c>
      <c r="Z58" s="77">
        <v>150</v>
      </c>
      <c r="AA58" s="78">
        <v>0.1</v>
      </c>
      <c r="AB58" s="77">
        <v>0</v>
      </c>
      <c r="AC58" s="77">
        <v>1824</v>
      </c>
      <c r="AD58" s="77">
        <v>0</v>
      </c>
      <c r="AE58" s="77">
        <v>1974</v>
      </c>
      <c r="AF58" s="77">
        <v>500</v>
      </c>
      <c r="AG58" s="79">
        <v>13726</v>
      </c>
      <c r="AH58" s="82" t="s">
        <v>160</v>
      </c>
      <c r="AI58" s="82" t="s">
        <v>210</v>
      </c>
      <c r="AJ58" s="82">
        <v>10000000005</v>
      </c>
    </row>
    <row r="59" spans="1:37" ht="15.6" x14ac:dyDescent="0.3">
      <c r="B59" s="88">
        <v>6</v>
      </c>
      <c r="C59" s="76" t="s">
        <v>36</v>
      </c>
      <c r="D59" s="88" t="s">
        <v>16</v>
      </c>
      <c r="E59" s="88" t="s">
        <v>57</v>
      </c>
      <c r="F59" s="76" t="s">
        <v>269</v>
      </c>
      <c r="G59" s="76" t="s">
        <v>79</v>
      </c>
      <c r="H59" s="76" t="s">
        <v>276</v>
      </c>
      <c r="I59" s="89" t="s">
        <v>295</v>
      </c>
      <c r="J59" s="89">
        <v>2021</v>
      </c>
      <c r="K59" s="76">
        <v>26</v>
      </c>
      <c r="L59" s="76">
        <v>2</v>
      </c>
      <c r="M59" s="76">
        <v>1</v>
      </c>
      <c r="N59" s="76">
        <v>26</v>
      </c>
      <c r="O59" s="77">
        <v>18000</v>
      </c>
      <c r="P59" s="77">
        <v>10800</v>
      </c>
      <c r="Q59" s="77">
        <v>4320</v>
      </c>
      <c r="R59" s="77">
        <v>1600</v>
      </c>
      <c r="S59" s="77">
        <v>1600</v>
      </c>
      <c r="T59" s="77">
        <v>1250</v>
      </c>
      <c r="U59" s="77">
        <v>1250</v>
      </c>
      <c r="V59" s="77">
        <v>30</v>
      </c>
      <c r="W59" s="77">
        <v>29.999999999999996</v>
      </c>
      <c r="X59" s="77">
        <v>7200</v>
      </c>
      <c r="Y59" s="77">
        <v>18000</v>
      </c>
      <c r="Z59" s="77">
        <v>150</v>
      </c>
      <c r="AA59" s="78">
        <v>0.1</v>
      </c>
      <c r="AB59" s="77">
        <v>0</v>
      </c>
      <c r="AC59" s="77">
        <v>2160</v>
      </c>
      <c r="AD59" s="77">
        <v>0</v>
      </c>
      <c r="AE59" s="77">
        <v>2310</v>
      </c>
      <c r="AF59" s="77">
        <v>500</v>
      </c>
      <c r="AG59" s="79">
        <v>16190</v>
      </c>
      <c r="AH59" s="82" t="s">
        <v>161</v>
      </c>
      <c r="AI59" s="82" t="s">
        <v>211</v>
      </c>
      <c r="AJ59" s="82">
        <v>10000000006</v>
      </c>
    </row>
    <row r="60" spans="1:37" ht="15.6" x14ac:dyDescent="0.3">
      <c r="B60" s="88">
        <v>7</v>
      </c>
      <c r="C60" s="76" t="s">
        <v>37</v>
      </c>
      <c r="D60" s="88" t="s">
        <v>15</v>
      </c>
      <c r="E60" s="88" t="s">
        <v>53</v>
      </c>
      <c r="F60" s="76" t="s">
        <v>270</v>
      </c>
      <c r="G60" s="76" t="s">
        <v>79</v>
      </c>
      <c r="H60" s="76" t="s">
        <v>276</v>
      </c>
      <c r="I60" s="89" t="s">
        <v>295</v>
      </c>
      <c r="J60" s="89">
        <v>2021</v>
      </c>
      <c r="K60" s="76">
        <v>26</v>
      </c>
      <c r="L60" s="76">
        <v>2</v>
      </c>
      <c r="M60" s="76">
        <v>2</v>
      </c>
      <c r="N60" s="76">
        <v>26</v>
      </c>
      <c r="O60" s="77">
        <v>50000</v>
      </c>
      <c r="P60" s="77">
        <v>30000</v>
      </c>
      <c r="Q60" s="77">
        <v>12000</v>
      </c>
      <c r="R60" s="77">
        <v>1600</v>
      </c>
      <c r="S60" s="77">
        <v>1600</v>
      </c>
      <c r="T60" s="77">
        <v>1250</v>
      </c>
      <c r="U60" s="77">
        <v>1250</v>
      </c>
      <c r="V60" s="77">
        <v>5150</v>
      </c>
      <c r="W60" s="77">
        <v>5150</v>
      </c>
      <c r="X60" s="77">
        <v>20000</v>
      </c>
      <c r="Y60" s="77">
        <v>50000</v>
      </c>
      <c r="Z60" s="77">
        <v>200</v>
      </c>
      <c r="AA60" s="78">
        <v>0.1</v>
      </c>
      <c r="AB60" s="77">
        <v>5000</v>
      </c>
      <c r="AC60" s="77">
        <v>6000</v>
      </c>
      <c r="AD60" s="77">
        <v>0</v>
      </c>
      <c r="AE60" s="77">
        <v>11200</v>
      </c>
      <c r="AF60" s="77">
        <v>500</v>
      </c>
      <c r="AG60" s="79">
        <v>39300</v>
      </c>
      <c r="AH60" s="82" t="s">
        <v>162</v>
      </c>
      <c r="AI60" s="82" t="s">
        <v>212</v>
      </c>
      <c r="AJ60" s="82">
        <v>10000000007</v>
      </c>
    </row>
    <row r="61" spans="1:37" ht="15.6" x14ac:dyDescent="0.3">
      <c r="B61" s="88">
        <v>8</v>
      </c>
      <c r="C61" s="76" t="s">
        <v>38</v>
      </c>
      <c r="D61" s="88" t="s">
        <v>17</v>
      </c>
      <c r="E61" s="88" t="s">
        <v>52</v>
      </c>
      <c r="F61" s="76" t="s">
        <v>271</v>
      </c>
      <c r="G61" s="76" t="s">
        <v>79</v>
      </c>
      <c r="H61" s="76" t="s">
        <v>276</v>
      </c>
      <c r="I61" s="89" t="s">
        <v>295</v>
      </c>
      <c r="J61" s="89">
        <v>2021</v>
      </c>
      <c r="K61" s="76">
        <v>26</v>
      </c>
      <c r="L61" s="76">
        <v>2</v>
      </c>
      <c r="M61" s="76">
        <v>1</v>
      </c>
      <c r="N61" s="76">
        <v>26</v>
      </c>
      <c r="O61" s="77">
        <v>35000</v>
      </c>
      <c r="P61" s="77">
        <v>21000</v>
      </c>
      <c r="Q61" s="77">
        <v>8400</v>
      </c>
      <c r="R61" s="77">
        <v>1600</v>
      </c>
      <c r="S61" s="77">
        <v>1600</v>
      </c>
      <c r="T61" s="77">
        <v>1000</v>
      </c>
      <c r="U61" s="77">
        <v>1000</v>
      </c>
      <c r="V61" s="77">
        <v>3000</v>
      </c>
      <c r="W61" s="77">
        <v>3000</v>
      </c>
      <c r="X61" s="77">
        <v>14000</v>
      </c>
      <c r="Y61" s="77">
        <v>35000</v>
      </c>
      <c r="Z61" s="77">
        <v>200</v>
      </c>
      <c r="AA61" s="78">
        <v>0.1</v>
      </c>
      <c r="AB61" s="77">
        <v>0</v>
      </c>
      <c r="AC61" s="77">
        <v>4200</v>
      </c>
      <c r="AD61" s="77">
        <v>2000</v>
      </c>
      <c r="AE61" s="77">
        <v>6400</v>
      </c>
      <c r="AF61" s="77">
        <v>500</v>
      </c>
      <c r="AG61" s="79">
        <v>29100</v>
      </c>
      <c r="AH61" s="82" t="s">
        <v>163</v>
      </c>
      <c r="AI61" s="82" t="s">
        <v>213</v>
      </c>
      <c r="AJ61" s="82">
        <v>10000000008</v>
      </c>
    </row>
    <row r="62" spans="1:37" ht="15.6" x14ac:dyDescent="0.3">
      <c r="B62" s="88">
        <v>9</v>
      </c>
      <c r="C62" s="76" t="s">
        <v>39</v>
      </c>
      <c r="D62" s="88" t="s">
        <v>18</v>
      </c>
      <c r="E62" s="88" t="s">
        <v>58</v>
      </c>
      <c r="F62" s="76" t="s">
        <v>272</v>
      </c>
      <c r="G62" s="76" t="s">
        <v>78</v>
      </c>
      <c r="H62" s="76" t="s">
        <v>276</v>
      </c>
      <c r="I62" s="89" t="s">
        <v>295</v>
      </c>
      <c r="J62" s="89">
        <v>2021</v>
      </c>
      <c r="K62" s="76">
        <v>26</v>
      </c>
      <c r="L62" s="76">
        <v>2</v>
      </c>
      <c r="M62" s="76">
        <v>2</v>
      </c>
      <c r="N62" s="76">
        <v>26</v>
      </c>
      <c r="O62" s="77">
        <v>15000</v>
      </c>
      <c r="P62" s="77">
        <v>9000</v>
      </c>
      <c r="Q62" s="77">
        <v>4500</v>
      </c>
      <c r="R62" s="77">
        <v>1600</v>
      </c>
      <c r="S62" s="77">
        <v>1600</v>
      </c>
      <c r="T62" s="77">
        <v>1000</v>
      </c>
      <c r="U62" s="77">
        <v>1000</v>
      </c>
      <c r="V62" s="77">
        <v>-1100</v>
      </c>
      <c r="W62" s="77">
        <v>-1100</v>
      </c>
      <c r="X62" s="77">
        <v>6000</v>
      </c>
      <c r="Y62" s="77">
        <v>15000</v>
      </c>
      <c r="Z62" s="77">
        <v>150</v>
      </c>
      <c r="AA62" s="78">
        <v>0.1</v>
      </c>
      <c r="AB62" s="77">
        <v>0</v>
      </c>
      <c r="AC62" s="77">
        <v>1800</v>
      </c>
      <c r="AD62" s="77">
        <v>1500</v>
      </c>
      <c r="AE62" s="77">
        <v>3450</v>
      </c>
      <c r="AF62" s="77">
        <v>500</v>
      </c>
      <c r="AG62" s="79">
        <v>12050</v>
      </c>
      <c r="AH62" s="82" t="s">
        <v>164</v>
      </c>
      <c r="AI62" s="82" t="s">
        <v>214</v>
      </c>
      <c r="AJ62" s="82">
        <v>10000000009</v>
      </c>
    </row>
    <row r="63" spans="1:37" ht="15.6" x14ac:dyDescent="0.3">
      <c r="B63" s="88">
        <v>10</v>
      </c>
      <c r="C63" s="76" t="s">
        <v>40</v>
      </c>
      <c r="D63" s="88" t="s">
        <v>19</v>
      </c>
      <c r="E63" s="88" t="s">
        <v>67</v>
      </c>
      <c r="F63" s="76" t="s">
        <v>273</v>
      </c>
      <c r="G63" s="76" t="s">
        <v>78</v>
      </c>
      <c r="H63" s="76" t="s">
        <v>276</v>
      </c>
      <c r="I63" s="89" t="s">
        <v>295</v>
      </c>
      <c r="J63" s="89">
        <v>2021</v>
      </c>
      <c r="K63" s="76">
        <v>26</v>
      </c>
      <c r="L63" s="76">
        <v>2</v>
      </c>
      <c r="M63" s="76">
        <v>0</v>
      </c>
      <c r="N63" s="76">
        <v>26</v>
      </c>
      <c r="O63" s="77">
        <v>13500</v>
      </c>
      <c r="P63" s="77">
        <v>8100.0000000000009</v>
      </c>
      <c r="Q63" s="77">
        <v>4050</v>
      </c>
      <c r="R63" s="77">
        <v>1600</v>
      </c>
      <c r="S63" s="77">
        <v>1600</v>
      </c>
      <c r="T63" s="77">
        <v>800</v>
      </c>
      <c r="U63" s="77">
        <v>800</v>
      </c>
      <c r="V63" s="77">
        <v>-1050</v>
      </c>
      <c r="W63" s="77">
        <v>-1050</v>
      </c>
      <c r="X63" s="77">
        <v>5400</v>
      </c>
      <c r="Y63" s="77">
        <v>13500</v>
      </c>
      <c r="Z63" s="77">
        <v>0</v>
      </c>
      <c r="AA63" s="78">
        <v>0.1</v>
      </c>
      <c r="AB63" s="77">
        <v>0</v>
      </c>
      <c r="AC63" s="77">
        <v>1800</v>
      </c>
      <c r="AD63" s="77">
        <v>5000</v>
      </c>
      <c r="AE63" s="77">
        <v>6800</v>
      </c>
      <c r="AF63" s="77">
        <v>500</v>
      </c>
      <c r="AG63" s="79">
        <v>7200</v>
      </c>
      <c r="AH63" s="82" t="s">
        <v>165</v>
      </c>
      <c r="AI63" s="82" t="s">
        <v>215</v>
      </c>
      <c r="AJ63" s="82">
        <v>10000000010</v>
      </c>
    </row>
    <row r="64" spans="1:37" ht="15.6" x14ac:dyDescent="0.3">
      <c r="B64" s="88">
        <v>11</v>
      </c>
      <c r="C64" s="76" t="s">
        <v>41</v>
      </c>
      <c r="D64" s="88" t="s">
        <v>20</v>
      </c>
      <c r="E64" s="88" t="s">
        <v>54</v>
      </c>
      <c r="F64" s="76" t="s">
        <v>274</v>
      </c>
      <c r="G64" s="76" t="s">
        <v>78</v>
      </c>
      <c r="H64" s="76" t="s">
        <v>276</v>
      </c>
      <c r="I64" s="89" t="s">
        <v>295</v>
      </c>
      <c r="J64" s="89">
        <v>2021</v>
      </c>
      <c r="K64" s="76">
        <v>26</v>
      </c>
      <c r="L64" s="76">
        <v>2</v>
      </c>
      <c r="M64" s="76">
        <v>1</v>
      </c>
      <c r="N64" s="76">
        <v>26</v>
      </c>
      <c r="O64" s="77">
        <v>28000</v>
      </c>
      <c r="P64" s="77">
        <v>16800</v>
      </c>
      <c r="Q64" s="77">
        <v>8400</v>
      </c>
      <c r="R64" s="77">
        <v>1600</v>
      </c>
      <c r="S64" s="77">
        <v>1600</v>
      </c>
      <c r="T64" s="77">
        <v>1200</v>
      </c>
      <c r="U64" s="77">
        <v>1200</v>
      </c>
      <c r="V64" s="77">
        <v>0</v>
      </c>
      <c r="W64" s="77">
        <v>0</v>
      </c>
      <c r="X64" s="77">
        <v>11200</v>
      </c>
      <c r="Y64" s="77">
        <v>28000</v>
      </c>
      <c r="Z64" s="77">
        <v>200</v>
      </c>
      <c r="AA64" s="78">
        <v>0.1</v>
      </c>
      <c r="AB64" s="77">
        <v>0</v>
      </c>
      <c r="AC64" s="77">
        <v>3360</v>
      </c>
      <c r="AD64" s="77">
        <v>3500</v>
      </c>
      <c r="AE64" s="77">
        <v>7060</v>
      </c>
      <c r="AF64" s="77">
        <v>500</v>
      </c>
      <c r="AG64" s="79">
        <v>21440</v>
      </c>
      <c r="AH64" s="82" t="s">
        <v>166</v>
      </c>
      <c r="AI64" s="82" t="s">
        <v>216</v>
      </c>
      <c r="AJ64" s="82">
        <v>10000000011</v>
      </c>
    </row>
    <row r="65" spans="2:36" ht="15.6" x14ac:dyDescent="0.3">
      <c r="B65" s="88">
        <v>12</v>
      </c>
      <c r="C65" s="76" t="s">
        <v>42</v>
      </c>
      <c r="D65" s="88" t="s">
        <v>21</v>
      </c>
      <c r="E65" s="88" t="s">
        <v>55</v>
      </c>
      <c r="F65" s="76" t="s">
        <v>275</v>
      </c>
      <c r="G65" s="76" t="s">
        <v>78</v>
      </c>
      <c r="H65" s="76" t="s">
        <v>276</v>
      </c>
      <c r="I65" s="89" t="s">
        <v>295</v>
      </c>
      <c r="J65" s="89">
        <v>2021</v>
      </c>
      <c r="K65" s="76">
        <v>26</v>
      </c>
      <c r="L65" s="76">
        <v>2</v>
      </c>
      <c r="M65" s="76">
        <v>1</v>
      </c>
      <c r="N65" s="76">
        <v>26</v>
      </c>
      <c r="O65" s="77">
        <v>10000</v>
      </c>
      <c r="P65" s="77">
        <v>6000</v>
      </c>
      <c r="Q65" s="77">
        <v>3000</v>
      </c>
      <c r="R65" s="77">
        <v>1600</v>
      </c>
      <c r="S65" s="77">
        <v>1600</v>
      </c>
      <c r="T65" s="77">
        <v>1250</v>
      </c>
      <c r="U65" s="77">
        <v>1250</v>
      </c>
      <c r="V65" s="77">
        <v>-1850</v>
      </c>
      <c r="W65" s="77">
        <v>-1850.0000000000002</v>
      </c>
      <c r="X65" s="77">
        <v>4000</v>
      </c>
      <c r="Y65" s="77">
        <v>10000</v>
      </c>
      <c r="Z65" s="77">
        <v>0</v>
      </c>
      <c r="AA65" s="78">
        <v>0.1</v>
      </c>
      <c r="AB65" s="77">
        <v>0</v>
      </c>
      <c r="AC65" s="77">
        <v>1800</v>
      </c>
      <c r="AD65" s="77">
        <v>1500</v>
      </c>
      <c r="AE65" s="77">
        <v>3300</v>
      </c>
      <c r="AF65" s="77">
        <v>500</v>
      </c>
      <c r="AG65" s="79">
        <v>7200</v>
      </c>
      <c r="AH65" s="82" t="s">
        <v>167</v>
      </c>
      <c r="AI65" s="82" t="s">
        <v>217</v>
      </c>
      <c r="AJ65" s="82">
        <v>10000000012</v>
      </c>
    </row>
    <row r="66" spans="2:36" ht="15.6" x14ac:dyDescent="0.3">
      <c r="B66" s="88">
        <v>13</v>
      </c>
      <c r="C66" s="76" t="s">
        <v>43</v>
      </c>
      <c r="D66" s="88" t="s">
        <v>22</v>
      </c>
      <c r="E66" s="88" t="s">
        <v>56</v>
      </c>
      <c r="F66" s="76" t="s">
        <v>276</v>
      </c>
      <c r="G66" s="76" t="s">
        <v>78</v>
      </c>
      <c r="H66" s="76" t="s">
        <v>276</v>
      </c>
      <c r="I66" s="89" t="s">
        <v>295</v>
      </c>
      <c r="J66" s="89">
        <v>2021</v>
      </c>
      <c r="K66" s="76">
        <v>26</v>
      </c>
      <c r="L66" s="76">
        <v>2</v>
      </c>
      <c r="M66" s="76">
        <v>2</v>
      </c>
      <c r="N66" s="76">
        <v>26</v>
      </c>
      <c r="O66" s="77">
        <v>10000</v>
      </c>
      <c r="P66" s="77">
        <v>6000</v>
      </c>
      <c r="Q66" s="77">
        <v>3000</v>
      </c>
      <c r="R66" s="77">
        <v>1600</v>
      </c>
      <c r="S66" s="77">
        <v>1600</v>
      </c>
      <c r="T66" s="77">
        <v>1250</v>
      </c>
      <c r="U66" s="77">
        <v>1250</v>
      </c>
      <c r="V66" s="77">
        <v>-1850</v>
      </c>
      <c r="W66" s="77">
        <v>-1850.0000000000002</v>
      </c>
      <c r="X66" s="77">
        <v>4000</v>
      </c>
      <c r="Y66" s="77">
        <v>10000</v>
      </c>
      <c r="Z66" s="77">
        <v>0</v>
      </c>
      <c r="AA66" s="78">
        <v>0.1</v>
      </c>
      <c r="AB66" s="77">
        <v>0</v>
      </c>
      <c r="AC66" s="77">
        <v>1800</v>
      </c>
      <c r="AD66" s="77">
        <v>0</v>
      </c>
      <c r="AE66" s="77">
        <v>1800</v>
      </c>
      <c r="AF66" s="77">
        <v>500</v>
      </c>
      <c r="AG66" s="79">
        <v>8700</v>
      </c>
      <c r="AH66" s="82" t="s">
        <v>168</v>
      </c>
      <c r="AI66" s="82" t="s">
        <v>218</v>
      </c>
      <c r="AJ66" s="82">
        <v>10000000013</v>
      </c>
    </row>
    <row r="67" spans="2:36" ht="15.6" x14ac:dyDescent="0.3">
      <c r="B67" s="88">
        <v>14</v>
      </c>
      <c r="C67" s="76" t="s">
        <v>44</v>
      </c>
      <c r="D67" s="88" t="s">
        <v>23</v>
      </c>
      <c r="E67" s="88" t="s">
        <v>58</v>
      </c>
      <c r="F67" s="76" t="s">
        <v>277</v>
      </c>
      <c r="G67" s="76" t="s">
        <v>78</v>
      </c>
      <c r="H67" s="76" t="s">
        <v>269</v>
      </c>
      <c r="I67" s="89" t="s">
        <v>295</v>
      </c>
      <c r="J67" s="89">
        <v>2021</v>
      </c>
      <c r="K67" s="76">
        <v>26</v>
      </c>
      <c r="L67" s="76">
        <v>2</v>
      </c>
      <c r="M67" s="76">
        <v>0</v>
      </c>
      <c r="N67" s="76">
        <v>26</v>
      </c>
      <c r="O67" s="77">
        <v>18000</v>
      </c>
      <c r="P67" s="77">
        <v>10800</v>
      </c>
      <c r="Q67" s="77">
        <v>5400</v>
      </c>
      <c r="R67" s="77">
        <v>1600</v>
      </c>
      <c r="S67" s="77">
        <v>1600</v>
      </c>
      <c r="T67" s="77">
        <v>1000</v>
      </c>
      <c r="U67" s="77">
        <v>1000</v>
      </c>
      <c r="V67" s="77">
        <v>-800</v>
      </c>
      <c r="W67" s="77">
        <v>-800</v>
      </c>
      <c r="X67" s="77">
        <v>7200</v>
      </c>
      <c r="Y67" s="77">
        <v>18000</v>
      </c>
      <c r="Z67" s="77">
        <v>150</v>
      </c>
      <c r="AA67" s="78">
        <v>0.1</v>
      </c>
      <c r="AB67" s="77">
        <v>0</v>
      </c>
      <c r="AC67" s="77">
        <v>2160</v>
      </c>
      <c r="AD67" s="77">
        <v>0</v>
      </c>
      <c r="AE67" s="77">
        <v>2310</v>
      </c>
      <c r="AF67" s="77">
        <v>500</v>
      </c>
      <c r="AG67" s="79">
        <v>16190</v>
      </c>
      <c r="AH67" s="82" t="s">
        <v>169</v>
      </c>
      <c r="AI67" s="82" t="s">
        <v>219</v>
      </c>
      <c r="AJ67" s="82">
        <v>10000000014</v>
      </c>
    </row>
    <row r="68" spans="2:36" ht="15.6" x14ac:dyDescent="0.3">
      <c r="B68" s="88">
        <v>15</v>
      </c>
      <c r="C68" s="76" t="s">
        <v>45</v>
      </c>
      <c r="D68" s="88" t="s">
        <v>24</v>
      </c>
      <c r="E68" s="88" t="s">
        <v>59</v>
      </c>
      <c r="F68" s="76" t="s">
        <v>278</v>
      </c>
      <c r="G68" s="76" t="s">
        <v>78</v>
      </c>
      <c r="H68" s="76" t="s">
        <v>276</v>
      </c>
      <c r="I68" s="89" t="s">
        <v>295</v>
      </c>
      <c r="J68" s="89">
        <v>2021</v>
      </c>
      <c r="K68" s="76">
        <v>26</v>
      </c>
      <c r="L68" s="76">
        <v>2</v>
      </c>
      <c r="M68" s="76">
        <v>1</v>
      </c>
      <c r="N68" s="76">
        <v>26</v>
      </c>
      <c r="O68" s="77">
        <v>26000</v>
      </c>
      <c r="P68" s="77">
        <v>15600</v>
      </c>
      <c r="Q68" s="77">
        <v>7800</v>
      </c>
      <c r="R68" s="77">
        <v>1600</v>
      </c>
      <c r="S68" s="77">
        <v>1600</v>
      </c>
      <c r="T68" s="77">
        <v>1000</v>
      </c>
      <c r="U68" s="77">
        <v>1000</v>
      </c>
      <c r="V68" s="77">
        <v>0</v>
      </c>
      <c r="W68" s="77">
        <v>0</v>
      </c>
      <c r="X68" s="77">
        <v>10400</v>
      </c>
      <c r="Y68" s="77">
        <v>26000</v>
      </c>
      <c r="Z68" s="77">
        <v>200</v>
      </c>
      <c r="AA68" s="78">
        <v>0.1</v>
      </c>
      <c r="AB68" s="77">
        <v>0</v>
      </c>
      <c r="AC68" s="77">
        <v>3120</v>
      </c>
      <c r="AD68" s="77">
        <v>0</v>
      </c>
      <c r="AE68" s="77">
        <v>3320</v>
      </c>
      <c r="AF68" s="77">
        <v>500</v>
      </c>
      <c r="AG68" s="79">
        <v>23180</v>
      </c>
      <c r="AH68" s="82" t="s">
        <v>170</v>
      </c>
      <c r="AI68" s="82" t="s">
        <v>220</v>
      </c>
      <c r="AJ68" s="82">
        <v>10000000015</v>
      </c>
    </row>
    <row r="69" spans="2:36" ht="15.6" x14ac:dyDescent="0.3">
      <c r="B69" s="88">
        <v>16</v>
      </c>
      <c r="C69" s="76" t="s">
        <v>46</v>
      </c>
      <c r="D69" s="88" t="s">
        <v>25</v>
      </c>
      <c r="E69" s="88" t="s">
        <v>57</v>
      </c>
      <c r="F69" s="76" t="s">
        <v>279</v>
      </c>
      <c r="G69" s="76" t="s">
        <v>78</v>
      </c>
      <c r="H69" s="76" t="s">
        <v>276</v>
      </c>
      <c r="I69" s="89" t="s">
        <v>295</v>
      </c>
      <c r="J69" s="89">
        <v>2021</v>
      </c>
      <c r="K69" s="76">
        <v>26</v>
      </c>
      <c r="L69" s="76">
        <v>2</v>
      </c>
      <c r="M69" s="76">
        <v>1</v>
      </c>
      <c r="N69" s="76">
        <v>26</v>
      </c>
      <c r="O69" s="77">
        <v>22000</v>
      </c>
      <c r="P69" s="77">
        <v>13200</v>
      </c>
      <c r="Q69" s="77">
        <v>6600</v>
      </c>
      <c r="R69" s="77">
        <v>1600</v>
      </c>
      <c r="S69" s="77">
        <v>1600</v>
      </c>
      <c r="T69" s="77">
        <v>800</v>
      </c>
      <c r="U69" s="77">
        <v>800</v>
      </c>
      <c r="V69" s="77">
        <v>-200</v>
      </c>
      <c r="W69" s="77">
        <v>-200</v>
      </c>
      <c r="X69" s="77">
        <v>8800</v>
      </c>
      <c r="Y69" s="77">
        <v>22000</v>
      </c>
      <c r="Z69" s="77">
        <v>200</v>
      </c>
      <c r="AA69" s="78">
        <v>0.1</v>
      </c>
      <c r="AB69" s="77">
        <v>0</v>
      </c>
      <c r="AC69" s="77">
        <v>2640</v>
      </c>
      <c r="AD69" s="77">
        <v>0</v>
      </c>
      <c r="AE69" s="77">
        <v>2840</v>
      </c>
      <c r="AF69" s="77">
        <v>500</v>
      </c>
      <c r="AG69" s="79">
        <v>19660</v>
      </c>
      <c r="AH69" s="82" t="s">
        <v>171</v>
      </c>
      <c r="AI69" s="82" t="s">
        <v>221</v>
      </c>
      <c r="AJ69" s="82">
        <v>10000000016</v>
      </c>
    </row>
    <row r="70" spans="2:36" ht="15.6" x14ac:dyDescent="0.3">
      <c r="B70" s="88">
        <v>17</v>
      </c>
      <c r="C70" s="76" t="s">
        <v>47</v>
      </c>
      <c r="D70" s="88" t="s">
        <v>26</v>
      </c>
      <c r="E70" s="88" t="s">
        <v>58</v>
      </c>
      <c r="F70" s="76" t="s">
        <v>280</v>
      </c>
      <c r="G70" s="76" t="s">
        <v>78</v>
      </c>
      <c r="H70" s="76" t="s">
        <v>276</v>
      </c>
      <c r="I70" s="89" t="s">
        <v>295</v>
      </c>
      <c r="J70" s="89">
        <v>2021</v>
      </c>
      <c r="K70" s="76">
        <v>26</v>
      </c>
      <c r="L70" s="76">
        <v>2</v>
      </c>
      <c r="M70" s="76">
        <v>0</v>
      </c>
      <c r="N70" s="76">
        <v>26</v>
      </c>
      <c r="O70" s="77">
        <v>25000</v>
      </c>
      <c r="P70" s="77">
        <v>15000</v>
      </c>
      <c r="Q70" s="77">
        <v>7500</v>
      </c>
      <c r="R70" s="77">
        <v>1600</v>
      </c>
      <c r="S70" s="77">
        <v>1600</v>
      </c>
      <c r="T70" s="77">
        <v>1200</v>
      </c>
      <c r="U70" s="77">
        <v>1200</v>
      </c>
      <c r="V70" s="77">
        <v>-300</v>
      </c>
      <c r="W70" s="77">
        <v>-300</v>
      </c>
      <c r="X70" s="77">
        <v>10000</v>
      </c>
      <c r="Y70" s="77">
        <v>25000</v>
      </c>
      <c r="Z70" s="77">
        <v>200</v>
      </c>
      <c r="AA70" s="78">
        <v>0.1</v>
      </c>
      <c r="AB70" s="77">
        <v>0</v>
      </c>
      <c r="AC70" s="77">
        <v>3000</v>
      </c>
      <c r="AD70" s="77">
        <v>0</v>
      </c>
      <c r="AE70" s="77">
        <v>3200</v>
      </c>
      <c r="AF70" s="77">
        <v>500</v>
      </c>
      <c r="AG70" s="79">
        <v>22300</v>
      </c>
      <c r="AH70" s="82" t="s">
        <v>172</v>
      </c>
      <c r="AI70" s="82" t="s">
        <v>222</v>
      </c>
      <c r="AJ70" s="82">
        <v>10000000017</v>
      </c>
    </row>
    <row r="71" spans="2:36" ht="15.6" x14ac:dyDescent="0.3">
      <c r="B71" s="88">
        <v>18</v>
      </c>
      <c r="C71" s="76" t="s">
        <v>48</v>
      </c>
      <c r="D71" s="88" t="s">
        <v>9</v>
      </c>
      <c r="E71" s="88" t="s">
        <v>57</v>
      </c>
      <c r="F71" s="76" t="s">
        <v>281</v>
      </c>
      <c r="G71" s="76" t="s">
        <v>78</v>
      </c>
      <c r="H71" s="76" t="s">
        <v>276</v>
      </c>
      <c r="I71" s="89" t="s">
        <v>295</v>
      </c>
      <c r="J71" s="89">
        <v>2021</v>
      </c>
      <c r="K71" s="76">
        <v>26</v>
      </c>
      <c r="L71" s="76">
        <v>2</v>
      </c>
      <c r="M71" s="76">
        <v>2</v>
      </c>
      <c r="N71" s="76">
        <v>26</v>
      </c>
      <c r="O71" s="77">
        <v>12500</v>
      </c>
      <c r="P71" s="77">
        <v>7500</v>
      </c>
      <c r="Q71" s="77">
        <v>3750</v>
      </c>
      <c r="R71" s="77">
        <v>1600</v>
      </c>
      <c r="S71" s="77">
        <v>1600</v>
      </c>
      <c r="T71" s="77">
        <v>1250</v>
      </c>
      <c r="U71" s="77">
        <v>1250</v>
      </c>
      <c r="V71" s="77">
        <v>-1600</v>
      </c>
      <c r="W71" s="77">
        <v>-1600</v>
      </c>
      <c r="X71" s="77">
        <v>5000</v>
      </c>
      <c r="Y71" s="77">
        <v>12500</v>
      </c>
      <c r="Z71" s="77">
        <v>0</v>
      </c>
      <c r="AA71" s="78">
        <v>0.1</v>
      </c>
      <c r="AB71" s="77">
        <v>0</v>
      </c>
      <c r="AC71" s="77">
        <v>1800</v>
      </c>
      <c r="AD71" s="77">
        <v>0</v>
      </c>
      <c r="AE71" s="77">
        <v>1800</v>
      </c>
      <c r="AF71" s="77">
        <v>500</v>
      </c>
      <c r="AG71" s="79">
        <v>11200</v>
      </c>
      <c r="AH71" s="82" t="s">
        <v>173</v>
      </c>
      <c r="AI71" s="82" t="s">
        <v>223</v>
      </c>
      <c r="AJ71" s="82">
        <v>10000000018</v>
      </c>
    </row>
    <row r="72" spans="2:36" ht="15.6" x14ac:dyDescent="0.3">
      <c r="B72" s="88">
        <v>19</v>
      </c>
      <c r="C72" s="76" t="s">
        <v>49</v>
      </c>
      <c r="D72" s="88" t="s">
        <v>27</v>
      </c>
      <c r="E72" s="88" t="s">
        <v>57</v>
      </c>
      <c r="F72" s="76" t="s">
        <v>282</v>
      </c>
      <c r="G72" s="76" t="s">
        <v>78</v>
      </c>
      <c r="H72" s="76" t="s">
        <v>276</v>
      </c>
      <c r="I72" s="89" t="s">
        <v>295</v>
      </c>
      <c r="J72" s="89">
        <v>2021</v>
      </c>
      <c r="K72" s="76">
        <v>26</v>
      </c>
      <c r="L72" s="76">
        <v>2</v>
      </c>
      <c r="M72" s="76">
        <v>0</v>
      </c>
      <c r="N72" s="76">
        <v>26</v>
      </c>
      <c r="O72" s="77">
        <v>25000</v>
      </c>
      <c r="P72" s="77">
        <v>15000</v>
      </c>
      <c r="Q72" s="77">
        <v>7500</v>
      </c>
      <c r="R72" s="77">
        <v>1600</v>
      </c>
      <c r="S72" s="77">
        <v>1600</v>
      </c>
      <c r="T72" s="77">
        <v>1250</v>
      </c>
      <c r="U72" s="77">
        <v>1250</v>
      </c>
      <c r="V72" s="77">
        <v>-350</v>
      </c>
      <c r="W72" s="77">
        <v>-350</v>
      </c>
      <c r="X72" s="77">
        <v>10000</v>
      </c>
      <c r="Y72" s="77">
        <v>25000</v>
      </c>
      <c r="Z72" s="77">
        <v>200</v>
      </c>
      <c r="AA72" s="78">
        <v>0.1</v>
      </c>
      <c r="AB72" s="77">
        <v>0</v>
      </c>
      <c r="AC72" s="77">
        <v>3000</v>
      </c>
      <c r="AD72" s="77">
        <v>0</v>
      </c>
      <c r="AE72" s="77">
        <v>3200</v>
      </c>
      <c r="AF72" s="77">
        <v>500</v>
      </c>
      <c r="AG72" s="79">
        <v>22300</v>
      </c>
      <c r="AH72" s="82" t="s">
        <v>174</v>
      </c>
      <c r="AI72" s="82" t="s">
        <v>224</v>
      </c>
      <c r="AJ72" s="82">
        <v>10000000019</v>
      </c>
    </row>
    <row r="73" spans="2:36" ht="15.6" x14ac:dyDescent="0.3">
      <c r="B73" s="88">
        <v>20</v>
      </c>
      <c r="C73" s="76" t="s">
        <v>50</v>
      </c>
      <c r="D73" s="88" t="s">
        <v>28</v>
      </c>
      <c r="E73" s="88" t="s">
        <v>59</v>
      </c>
      <c r="F73" s="76" t="s">
        <v>283</v>
      </c>
      <c r="G73" s="76" t="s">
        <v>78</v>
      </c>
      <c r="H73" s="76" t="s">
        <v>276</v>
      </c>
      <c r="I73" s="89" t="s">
        <v>295</v>
      </c>
      <c r="J73" s="89">
        <v>2021</v>
      </c>
      <c r="K73" s="76">
        <v>26</v>
      </c>
      <c r="L73" s="76">
        <v>2</v>
      </c>
      <c r="M73" s="76">
        <v>1</v>
      </c>
      <c r="N73" s="76">
        <v>26</v>
      </c>
      <c r="O73" s="77">
        <v>25000</v>
      </c>
      <c r="P73" s="77">
        <v>15000</v>
      </c>
      <c r="Q73" s="77">
        <v>7500</v>
      </c>
      <c r="R73" s="77">
        <v>1600</v>
      </c>
      <c r="S73" s="77">
        <v>1600</v>
      </c>
      <c r="T73" s="77">
        <v>1000</v>
      </c>
      <c r="U73" s="77">
        <v>1000</v>
      </c>
      <c r="V73" s="77">
        <v>-100</v>
      </c>
      <c r="W73" s="77">
        <v>-100</v>
      </c>
      <c r="X73" s="77">
        <v>10000</v>
      </c>
      <c r="Y73" s="77">
        <v>25000</v>
      </c>
      <c r="Z73" s="77">
        <v>200</v>
      </c>
      <c r="AA73" s="78">
        <v>0.1</v>
      </c>
      <c r="AB73" s="77">
        <v>0</v>
      </c>
      <c r="AC73" s="77">
        <v>3000</v>
      </c>
      <c r="AD73" s="77">
        <v>0</v>
      </c>
      <c r="AE73" s="77">
        <v>3200</v>
      </c>
      <c r="AF73" s="77">
        <v>500</v>
      </c>
      <c r="AG73" s="79">
        <v>22300</v>
      </c>
      <c r="AH73" s="82" t="s">
        <v>175</v>
      </c>
      <c r="AI73" s="82" t="s">
        <v>225</v>
      </c>
      <c r="AJ73" s="82">
        <v>10000000020</v>
      </c>
    </row>
    <row r="74" spans="2:36" ht="15.6" x14ac:dyDescent="0.3">
      <c r="B74" s="88">
        <v>21</v>
      </c>
      <c r="C74" s="76" t="s">
        <v>61</v>
      </c>
      <c r="D74" s="88" t="s">
        <v>68</v>
      </c>
      <c r="E74" s="88"/>
      <c r="F74" s="76"/>
      <c r="G74" s="76"/>
      <c r="H74" s="76"/>
      <c r="I74" s="89" t="s">
        <v>295</v>
      </c>
      <c r="J74" s="89">
        <v>2021</v>
      </c>
      <c r="K74" s="76">
        <v>26</v>
      </c>
      <c r="L74" s="76">
        <v>2</v>
      </c>
      <c r="M74" s="76">
        <v>5</v>
      </c>
      <c r="N74" s="76">
        <v>23</v>
      </c>
      <c r="O74" s="77">
        <v>25000</v>
      </c>
      <c r="P74" s="77">
        <v>13269.23076923077</v>
      </c>
      <c r="Q74" s="77">
        <v>0</v>
      </c>
      <c r="R74" s="77">
        <v>1600</v>
      </c>
      <c r="S74" s="77">
        <v>1415.3846153846155</v>
      </c>
      <c r="T74" s="77">
        <v>1000</v>
      </c>
      <c r="U74" s="77">
        <v>884.61538461538453</v>
      </c>
      <c r="V74" s="77">
        <v>9130.7692307692305</v>
      </c>
      <c r="W74" s="77">
        <v>8077.2189349112423</v>
      </c>
      <c r="X74" s="77">
        <v>10377.218934911241</v>
      </c>
      <c r="Y74" s="77">
        <v>23646.449704142011</v>
      </c>
      <c r="Z74" s="77">
        <v>200</v>
      </c>
      <c r="AA74" s="78">
        <v>0.1</v>
      </c>
      <c r="AB74" s="77">
        <v>0</v>
      </c>
      <c r="AC74" s="77">
        <v>2837.5739644970413</v>
      </c>
      <c r="AD74" s="77">
        <v>0</v>
      </c>
      <c r="AE74" s="77">
        <v>3037.5739644970413</v>
      </c>
      <c r="AF74" s="77">
        <v>500</v>
      </c>
      <c r="AG74" s="79">
        <v>21108.875739644969</v>
      </c>
      <c r="AH74" s="82" t="s">
        <v>176</v>
      </c>
      <c r="AI74" s="82" t="s">
        <v>226</v>
      </c>
      <c r="AJ74" s="82">
        <v>10000000021</v>
      </c>
    </row>
    <row r="75" spans="2:36" ht="15.6" x14ac:dyDescent="0.3">
      <c r="B75" s="88">
        <v>22</v>
      </c>
      <c r="C75" s="76" t="s">
        <v>62</v>
      </c>
      <c r="D75" s="88" t="s">
        <v>69</v>
      </c>
      <c r="E75" s="88"/>
      <c r="F75" s="76"/>
      <c r="G75" s="76"/>
      <c r="H75" s="76"/>
      <c r="I75" s="89" t="s">
        <v>295</v>
      </c>
      <c r="J75" s="89">
        <v>2021</v>
      </c>
      <c r="K75" s="76">
        <v>26</v>
      </c>
      <c r="L75" s="76">
        <v>2</v>
      </c>
      <c r="M75" s="76">
        <v>0</v>
      </c>
      <c r="N75" s="76">
        <v>26</v>
      </c>
      <c r="O75" s="77">
        <v>25000</v>
      </c>
      <c r="P75" s="77">
        <v>15000</v>
      </c>
      <c r="Q75" s="77">
        <v>0</v>
      </c>
      <c r="R75" s="77">
        <v>1600</v>
      </c>
      <c r="S75" s="77">
        <v>1600</v>
      </c>
      <c r="T75" s="77">
        <v>800</v>
      </c>
      <c r="U75" s="77">
        <v>800</v>
      </c>
      <c r="V75" s="77">
        <v>7600</v>
      </c>
      <c r="W75" s="77">
        <v>7600</v>
      </c>
      <c r="X75" s="77">
        <v>10000</v>
      </c>
      <c r="Y75" s="77">
        <v>25000</v>
      </c>
      <c r="Z75" s="77">
        <v>200</v>
      </c>
      <c r="AA75" s="78">
        <v>0.1</v>
      </c>
      <c r="AB75" s="77">
        <v>0</v>
      </c>
      <c r="AC75" s="77">
        <v>3000</v>
      </c>
      <c r="AD75" s="77">
        <v>0</v>
      </c>
      <c r="AE75" s="77">
        <v>3200</v>
      </c>
      <c r="AF75" s="77">
        <v>500</v>
      </c>
      <c r="AG75" s="79">
        <v>22300</v>
      </c>
      <c r="AH75" s="82" t="s">
        <v>177</v>
      </c>
      <c r="AI75" s="82" t="s">
        <v>227</v>
      </c>
      <c r="AJ75" s="82">
        <v>10000000022</v>
      </c>
    </row>
    <row r="76" spans="2:36" ht="15.6" x14ac:dyDescent="0.3">
      <c r="B76" s="88">
        <v>23</v>
      </c>
      <c r="C76" s="76" t="s">
        <v>63</v>
      </c>
      <c r="D76" s="88" t="s">
        <v>70</v>
      </c>
      <c r="E76" s="88"/>
      <c r="F76" s="76"/>
      <c r="G76" s="76"/>
      <c r="H76" s="76"/>
      <c r="I76" s="89" t="s">
        <v>295</v>
      </c>
      <c r="J76" s="89">
        <v>2021</v>
      </c>
      <c r="K76" s="76">
        <v>26</v>
      </c>
      <c r="L76" s="76">
        <v>2</v>
      </c>
      <c r="M76" s="76">
        <v>0</v>
      </c>
      <c r="N76" s="76">
        <v>26</v>
      </c>
      <c r="O76" s="77">
        <v>25000</v>
      </c>
      <c r="P76" s="77">
        <v>15000</v>
      </c>
      <c r="Q76" s="77">
        <v>0</v>
      </c>
      <c r="R76" s="77">
        <v>1600</v>
      </c>
      <c r="S76" s="77">
        <v>1600</v>
      </c>
      <c r="T76" s="77">
        <v>1200</v>
      </c>
      <c r="U76" s="77">
        <v>1200</v>
      </c>
      <c r="V76" s="77">
        <v>7200</v>
      </c>
      <c r="W76" s="77">
        <v>7200</v>
      </c>
      <c r="X76" s="77">
        <v>10000</v>
      </c>
      <c r="Y76" s="77">
        <v>25000</v>
      </c>
      <c r="Z76" s="77">
        <v>200</v>
      </c>
      <c r="AA76" s="78">
        <v>0.1</v>
      </c>
      <c r="AB76" s="77">
        <v>0</v>
      </c>
      <c r="AC76" s="77">
        <v>3000</v>
      </c>
      <c r="AD76" s="77">
        <v>0</v>
      </c>
      <c r="AE76" s="77">
        <v>3200</v>
      </c>
      <c r="AF76" s="77">
        <v>500</v>
      </c>
      <c r="AG76" s="79">
        <v>22300</v>
      </c>
      <c r="AH76" s="82" t="s">
        <v>178</v>
      </c>
      <c r="AI76" s="82" t="s">
        <v>228</v>
      </c>
      <c r="AJ76" s="82">
        <v>10000000023</v>
      </c>
    </row>
    <row r="77" spans="2:36" ht="15.6" x14ac:dyDescent="0.3">
      <c r="B77" s="88">
        <v>24</v>
      </c>
      <c r="C77" s="76" t="s">
        <v>64</v>
      </c>
      <c r="D77" s="88" t="s">
        <v>71</v>
      </c>
      <c r="E77" s="88"/>
      <c r="F77" s="76"/>
      <c r="G77" s="76"/>
      <c r="H77" s="76"/>
      <c r="I77" s="89" t="s">
        <v>295</v>
      </c>
      <c r="J77" s="89">
        <v>2021</v>
      </c>
      <c r="K77" s="76">
        <v>26</v>
      </c>
      <c r="L77" s="76">
        <v>2</v>
      </c>
      <c r="M77" s="76">
        <v>0</v>
      </c>
      <c r="N77" s="76">
        <v>26</v>
      </c>
      <c r="O77" s="77">
        <v>25000</v>
      </c>
      <c r="P77" s="77">
        <v>15000</v>
      </c>
      <c r="Q77" s="77">
        <v>0</v>
      </c>
      <c r="R77" s="77">
        <v>1600</v>
      </c>
      <c r="S77" s="77">
        <v>1600</v>
      </c>
      <c r="T77" s="77">
        <v>1250</v>
      </c>
      <c r="U77" s="77">
        <v>1250</v>
      </c>
      <c r="V77" s="77">
        <v>7150</v>
      </c>
      <c r="W77" s="77">
        <v>7150</v>
      </c>
      <c r="X77" s="77">
        <v>10000</v>
      </c>
      <c r="Y77" s="77">
        <v>25000</v>
      </c>
      <c r="Z77" s="77">
        <v>200</v>
      </c>
      <c r="AA77" s="78">
        <v>0.1</v>
      </c>
      <c r="AB77" s="77">
        <v>0</v>
      </c>
      <c r="AC77" s="77">
        <v>3000</v>
      </c>
      <c r="AD77" s="77">
        <v>0</v>
      </c>
      <c r="AE77" s="77">
        <v>3200</v>
      </c>
      <c r="AF77" s="77">
        <v>500</v>
      </c>
      <c r="AG77" s="79">
        <v>22300</v>
      </c>
      <c r="AH77" s="82" t="s">
        <v>179</v>
      </c>
      <c r="AI77" s="82" t="s">
        <v>229</v>
      </c>
      <c r="AJ77" s="82">
        <v>10000000024</v>
      </c>
    </row>
    <row r="78" spans="2:36" ht="15.6" x14ac:dyDescent="0.3">
      <c r="B78" s="88">
        <v>25</v>
      </c>
      <c r="C78" s="76" t="s">
        <v>65</v>
      </c>
      <c r="D78" s="88" t="s">
        <v>72</v>
      </c>
      <c r="E78" s="88"/>
      <c r="F78" s="76"/>
      <c r="G78" s="76"/>
      <c r="H78" s="76"/>
      <c r="I78" s="89" t="s">
        <v>295</v>
      </c>
      <c r="J78" s="89">
        <v>2021</v>
      </c>
      <c r="K78" s="76">
        <v>26</v>
      </c>
      <c r="L78" s="76">
        <v>2</v>
      </c>
      <c r="M78" s="76">
        <v>1</v>
      </c>
      <c r="N78" s="76">
        <v>26</v>
      </c>
      <c r="O78" s="77">
        <v>25000</v>
      </c>
      <c r="P78" s="77">
        <v>15000</v>
      </c>
      <c r="Q78" s="77">
        <v>0</v>
      </c>
      <c r="R78" s="77">
        <v>1600</v>
      </c>
      <c r="S78" s="77">
        <v>1600</v>
      </c>
      <c r="T78" s="77">
        <v>0</v>
      </c>
      <c r="U78" s="77">
        <v>0</v>
      </c>
      <c r="V78" s="77">
        <v>8400</v>
      </c>
      <c r="W78" s="77">
        <v>8400</v>
      </c>
      <c r="X78" s="77">
        <v>10000</v>
      </c>
      <c r="Y78" s="77">
        <v>25000</v>
      </c>
      <c r="Z78" s="77">
        <v>200</v>
      </c>
      <c r="AA78" s="78">
        <v>0.1</v>
      </c>
      <c r="AB78" s="77">
        <v>0</v>
      </c>
      <c r="AC78" s="77">
        <v>3000</v>
      </c>
      <c r="AD78" s="77">
        <v>0</v>
      </c>
      <c r="AE78" s="77">
        <v>3200</v>
      </c>
      <c r="AF78" s="77">
        <v>500</v>
      </c>
      <c r="AG78" s="79">
        <v>22300</v>
      </c>
      <c r="AH78" s="82" t="s">
        <v>180</v>
      </c>
      <c r="AI78" s="82" t="s">
        <v>230</v>
      </c>
      <c r="AJ78" s="82">
        <v>10000000025</v>
      </c>
    </row>
    <row r="79" spans="2:36" ht="15.6" x14ac:dyDescent="0.3">
      <c r="B79" s="88">
        <v>26</v>
      </c>
      <c r="C79" s="76" t="s">
        <v>74</v>
      </c>
      <c r="D79" s="88" t="s">
        <v>73</v>
      </c>
      <c r="E79" s="88"/>
      <c r="F79" s="76"/>
      <c r="G79" s="76"/>
      <c r="H79" s="76"/>
      <c r="I79" s="89" t="s">
        <v>295</v>
      </c>
      <c r="J79" s="89">
        <v>2021</v>
      </c>
      <c r="K79" s="76">
        <v>26</v>
      </c>
      <c r="L79" s="76">
        <v>2</v>
      </c>
      <c r="M79" s="76">
        <v>0</v>
      </c>
      <c r="N79" s="76">
        <v>26</v>
      </c>
      <c r="O79" s="77">
        <v>25000</v>
      </c>
      <c r="P79" s="77">
        <v>15000</v>
      </c>
      <c r="Q79" s="77">
        <v>0</v>
      </c>
      <c r="R79" s="77">
        <v>1600</v>
      </c>
      <c r="S79" s="77">
        <v>1600</v>
      </c>
      <c r="T79" s="77">
        <v>0</v>
      </c>
      <c r="U79" s="77">
        <v>0</v>
      </c>
      <c r="V79" s="77">
        <v>8400</v>
      </c>
      <c r="W79" s="77">
        <v>8400</v>
      </c>
      <c r="X79" s="77">
        <v>10000</v>
      </c>
      <c r="Y79" s="77">
        <v>25000</v>
      </c>
      <c r="Z79" s="77">
        <v>200</v>
      </c>
      <c r="AA79" s="78">
        <v>0.1</v>
      </c>
      <c r="AB79" s="77">
        <v>0</v>
      </c>
      <c r="AC79" s="77">
        <v>3000</v>
      </c>
      <c r="AD79" s="77">
        <v>0</v>
      </c>
      <c r="AE79" s="77">
        <v>3200</v>
      </c>
      <c r="AF79" s="77">
        <v>500</v>
      </c>
      <c r="AG79" s="79">
        <v>22300</v>
      </c>
      <c r="AH79" s="82" t="s">
        <v>181</v>
      </c>
      <c r="AI79" s="82" t="s">
        <v>231</v>
      </c>
      <c r="AJ79" s="82">
        <v>10000000026</v>
      </c>
    </row>
    <row r="80" spans="2:36" ht="15.6" x14ac:dyDescent="0.3">
      <c r="B80" s="88">
        <v>27</v>
      </c>
      <c r="C80" s="76" t="s">
        <v>122</v>
      </c>
      <c r="D80" s="88" t="s">
        <v>99</v>
      </c>
      <c r="E80" s="88"/>
      <c r="F80" s="76"/>
      <c r="G80" s="76"/>
      <c r="H80" s="76"/>
      <c r="I80" s="89" t="s">
        <v>295</v>
      </c>
      <c r="J80" s="89">
        <v>2021</v>
      </c>
      <c r="K80" s="76">
        <v>26</v>
      </c>
      <c r="L80" s="76">
        <v>2</v>
      </c>
      <c r="M80" s="76">
        <v>1</v>
      </c>
      <c r="N80" s="76">
        <v>26</v>
      </c>
      <c r="O80" s="77"/>
      <c r="P80" s="77">
        <v>0</v>
      </c>
      <c r="Q80" s="77">
        <v>0</v>
      </c>
      <c r="R80" s="77">
        <v>0</v>
      </c>
      <c r="S80" s="77">
        <v>0</v>
      </c>
      <c r="T80" s="77">
        <v>0</v>
      </c>
      <c r="U80" s="77">
        <v>0</v>
      </c>
      <c r="V80" s="77">
        <v>0</v>
      </c>
      <c r="W80" s="77">
        <v>0</v>
      </c>
      <c r="X80" s="77">
        <v>0</v>
      </c>
      <c r="Y80" s="77">
        <v>0</v>
      </c>
      <c r="Z80" s="77">
        <v>0</v>
      </c>
      <c r="AA80" s="78">
        <v>0.1</v>
      </c>
      <c r="AB80" s="77">
        <v>0</v>
      </c>
      <c r="AC80" s="77">
        <v>0</v>
      </c>
      <c r="AD80" s="77">
        <v>0</v>
      </c>
      <c r="AE80" s="77">
        <v>0</v>
      </c>
      <c r="AF80" s="77">
        <v>0</v>
      </c>
      <c r="AG80" s="79">
        <v>0</v>
      </c>
      <c r="AH80" s="82" t="s">
        <v>182</v>
      </c>
      <c r="AI80" s="82" t="s">
        <v>232</v>
      </c>
      <c r="AJ80" s="82">
        <v>10000000027</v>
      </c>
    </row>
    <row r="81" spans="2:36" ht="15.6" x14ac:dyDescent="0.3">
      <c r="B81" s="88">
        <v>28</v>
      </c>
      <c r="C81" s="76" t="s">
        <v>123</v>
      </c>
      <c r="D81" s="88" t="s">
        <v>98</v>
      </c>
      <c r="E81" s="88"/>
      <c r="F81" s="76"/>
      <c r="G81" s="76"/>
      <c r="H81" s="76"/>
      <c r="I81" s="89" t="s">
        <v>295</v>
      </c>
      <c r="J81" s="89">
        <v>2021</v>
      </c>
      <c r="K81" s="76">
        <v>26</v>
      </c>
      <c r="L81" s="76">
        <v>2</v>
      </c>
      <c r="M81" s="76">
        <v>1</v>
      </c>
      <c r="N81" s="76">
        <v>26</v>
      </c>
      <c r="O81" s="77"/>
      <c r="P81" s="77">
        <v>0</v>
      </c>
      <c r="Q81" s="77">
        <v>0</v>
      </c>
      <c r="R81" s="77">
        <v>0</v>
      </c>
      <c r="S81" s="77">
        <v>0</v>
      </c>
      <c r="T81" s="77">
        <v>0</v>
      </c>
      <c r="U81" s="77">
        <v>0</v>
      </c>
      <c r="V81" s="77">
        <v>0</v>
      </c>
      <c r="W81" s="77">
        <v>0</v>
      </c>
      <c r="X81" s="77">
        <v>0</v>
      </c>
      <c r="Y81" s="77">
        <v>0</v>
      </c>
      <c r="Z81" s="77">
        <v>0</v>
      </c>
      <c r="AA81" s="78">
        <v>0.1</v>
      </c>
      <c r="AB81" s="77">
        <v>0</v>
      </c>
      <c r="AC81" s="77">
        <v>0</v>
      </c>
      <c r="AD81" s="77">
        <v>0</v>
      </c>
      <c r="AE81" s="77">
        <v>0</v>
      </c>
      <c r="AF81" s="77">
        <v>0</v>
      </c>
      <c r="AG81" s="79">
        <v>0</v>
      </c>
      <c r="AH81" s="82" t="s">
        <v>183</v>
      </c>
      <c r="AI81" s="82" t="s">
        <v>233</v>
      </c>
      <c r="AJ81" s="82">
        <v>10000000028</v>
      </c>
    </row>
    <row r="82" spans="2:36" ht="15.6" x14ac:dyDescent="0.3">
      <c r="B82" s="88">
        <v>29</v>
      </c>
      <c r="C82" s="76" t="s">
        <v>124</v>
      </c>
      <c r="D82" s="88" t="s">
        <v>100</v>
      </c>
      <c r="E82" s="88"/>
      <c r="F82" s="76"/>
      <c r="G82" s="76"/>
      <c r="H82" s="76"/>
      <c r="I82" s="89" t="s">
        <v>295</v>
      </c>
      <c r="J82" s="89">
        <v>2021</v>
      </c>
      <c r="K82" s="76">
        <v>26</v>
      </c>
      <c r="L82" s="76">
        <v>2</v>
      </c>
      <c r="M82" s="76">
        <v>9</v>
      </c>
      <c r="N82" s="76">
        <v>19</v>
      </c>
      <c r="O82" s="77"/>
      <c r="P82" s="77">
        <v>0</v>
      </c>
      <c r="Q82" s="77">
        <v>0</v>
      </c>
      <c r="R82" s="77">
        <v>0</v>
      </c>
      <c r="S82" s="77">
        <v>0</v>
      </c>
      <c r="T82" s="77">
        <v>0</v>
      </c>
      <c r="U82" s="77">
        <v>0</v>
      </c>
      <c r="V82" s="77">
        <v>0</v>
      </c>
      <c r="W82" s="77">
        <v>0</v>
      </c>
      <c r="X82" s="77">
        <v>0</v>
      </c>
      <c r="Y82" s="77">
        <v>0</v>
      </c>
      <c r="Z82" s="77">
        <v>0</v>
      </c>
      <c r="AA82" s="78">
        <v>0.1</v>
      </c>
      <c r="AB82" s="77">
        <v>0</v>
      </c>
      <c r="AC82" s="77">
        <v>0</v>
      </c>
      <c r="AD82" s="77">
        <v>0</v>
      </c>
      <c r="AE82" s="77">
        <v>0</v>
      </c>
      <c r="AF82" s="77">
        <v>0</v>
      </c>
      <c r="AG82" s="79">
        <v>0</v>
      </c>
      <c r="AH82" s="82" t="s">
        <v>184</v>
      </c>
      <c r="AI82" s="82" t="s">
        <v>234</v>
      </c>
      <c r="AJ82" s="82">
        <v>10000000029</v>
      </c>
    </row>
    <row r="83" spans="2:36" ht="15.6" x14ac:dyDescent="0.3">
      <c r="B83" s="88">
        <v>30</v>
      </c>
      <c r="C83" s="76" t="s">
        <v>125</v>
      </c>
      <c r="D83" s="88" t="s">
        <v>101</v>
      </c>
      <c r="E83" s="88"/>
      <c r="F83" s="76"/>
      <c r="G83" s="76"/>
      <c r="H83" s="76"/>
      <c r="I83" s="89" t="s">
        <v>295</v>
      </c>
      <c r="J83" s="89">
        <v>2021</v>
      </c>
      <c r="K83" s="76">
        <v>26</v>
      </c>
      <c r="L83" s="76">
        <v>2</v>
      </c>
      <c r="M83" s="76">
        <v>0</v>
      </c>
      <c r="N83" s="76">
        <v>26</v>
      </c>
      <c r="O83" s="77"/>
      <c r="P83" s="77">
        <v>0</v>
      </c>
      <c r="Q83" s="77">
        <v>0</v>
      </c>
      <c r="R83" s="77">
        <v>0</v>
      </c>
      <c r="S83" s="77">
        <v>0</v>
      </c>
      <c r="T83" s="77">
        <v>0</v>
      </c>
      <c r="U83" s="77">
        <v>0</v>
      </c>
      <c r="V83" s="77">
        <v>0</v>
      </c>
      <c r="W83" s="77">
        <v>0</v>
      </c>
      <c r="X83" s="77">
        <v>0</v>
      </c>
      <c r="Y83" s="77">
        <v>0</v>
      </c>
      <c r="Z83" s="77">
        <v>0</v>
      </c>
      <c r="AA83" s="78">
        <v>0.1</v>
      </c>
      <c r="AB83" s="77">
        <v>0</v>
      </c>
      <c r="AC83" s="77">
        <v>0</v>
      </c>
      <c r="AD83" s="77">
        <v>0</v>
      </c>
      <c r="AE83" s="77">
        <v>0</v>
      </c>
      <c r="AF83" s="77">
        <v>0</v>
      </c>
      <c r="AG83" s="79">
        <v>0</v>
      </c>
      <c r="AH83" s="82" t="s">
        <v>185</v>
      </c>
      <c r="AI83" s="82" t="s">
        <v>235</v>
      </c>
      <c r="AJ83" s="82">
        <v>10000000030</v>
      </c>
    </row>
    <row r="84" spans="2:36" ht="15.6" x14ac:dyDescent="0.3">
      <c r="B84" s="88">
        <v>31</v>
      </c>
      <c r="C84" s="76" t="s">
        <v>126</v>
      </c>
      <c r="D84" s="88" t="s">
        <v>102</v>
      </c>
      <c r="E84" s="88"/>
      <c r="F84" s="76"/>
      <c r="G84" s="76"/>
      <c r="H84" s="76"/>
      <c r="I84" s="89" t="s">
        <v>295</v>
      </c>
      <c r="J84" s="89">
        <v>2021</v>
      </c>
      <c r="K84" s="76">
        <v>26</v>
      </c>
      <c r="L84" s="76">
        <v>2</v>
      </c>
      <c r="M84" s="76">
        <v>0</v>
      </c>
      <c r="N84" s="76">
        <v>26</v>
      </c>
      <c r="O84" s="77"/>
      <c r="P84" s="77">
        <v>0</v>
      </c>
      <c r="Q84" s="77">
        <v>0</v>
      </c>
      <c r="R84" s="77">
        <v>0</v>
      </c>
      <c r="S84" s="77">
        <v>0</v>
      </c>
      <c r="T84" s="77">
        <v>0</v>
      </c>
      <c r="U84" s="77">
        <v>0</v>
      </c>
      <c r="V84" s="77">
        <v>0</v>
      </c>
      <c r="W84" s="77">
        <v>0</v>
      </c>
      <c r="X84" s="77">
        <v>0</v>
      </c>
      <c r="Y84" s="77">
        <v>0</v>
      </c>
      <c r="Z84" s="77">
        <v>0</v>
      </c>
      <c r="AA84" s="78">
        <v>0.1</v>
      </c>
      <c r="AB84" s="77">
        <v>0</v>
      </c>
      <c r="AC84" s="77">
        <v>0</v>
      </c>
      <c r="AD84" s="77">
        <v>0</v>
      </c>
      <c r="AE84" s="77">
        <v>0</v>
      </c>
      <c r="AF84" s="77">
        <v>0</v>
      </c>
      <c r="AG84" s="79">
        <v>0</v>
      </c>
      <c r="AH84" s="82" t="s">
        <v>186</v>
      </c>
      <c r="AI84" s="82" t="s">
        <v>236</v>
      </c>
      <c r="AJ84" s="82">
        <v>10000000031</v>
      </c>
    </row>
    <row r="85" spans="2:36" ht="15.6" x14ac:dyDescent="0.3">
      <c r="B85" s="88">
        <v>32</v>
      </c>
      <c r="C85" s="76" t="s">
        <v>127</v>
      </c>
      <c r="D85" s="88" t="s">
        <v>103</v>
      </c>
      <c r="E85" s="88"/>
      <c r="F85" s="76"/>
      <c r="G85" s="76"/>
      <c r="H85" s="76"/>
      <c r="I85" s="89" t="s">
        <v>295</v>
      </c>
      <c r="J85" s="89">
        <v>2021</v>
      </c>
      <c r="K85" s="76">
        <v>26</v>
      </c>
      <c r="L85" s="76">
        <v>2</v>
      </c>
      <c r="M85" s="76">
        <v>2</v>
      </c>
      <c r="N85" s="76">
        <v>26</v>
      </c>
      <c r="O85" s="77"/>
      <c r="P85" s="77">
        <v>0</v>
      </c>
      <c r="Q85" s="77">
        <v>0</v>
      </c>
      <c r="R85" s="77">
        <v>0</v>
      </c>
      <c r="S85" s="77">
        <v>0</v>
      </c>
      <c r="T85" s="77">
        <v>0</v>
      </c>
      <c r="U85" s="77">
        <v>0</v>
      </c>
      <c r="V85" s="77">
        <v>0</v>
      </c>
      <c r="W85" s="77">
        <v>0</v>
      </c>
      <c r="X85" s="77">
        <v>0</v>
      </c>
      <c r="Y85" s="77">
        <v>0</v>
      </c>
      <c r="Z85" s="77">
        <v>0</v>
      </c>
      <c r="AA85" s="78">
        <v>0.1</v>
      </c>
      <c r="AB85" s="77">
        <v>0</v>
      </c>
      <c r="AC85" s="77">
        <v>0</v>
      </c>
      <c r="AD85" s="77">
        <v>0</v>
      </c>
      <c r="AE85" s="77">
        <v>0</v>
      </c>
      <c r="AF85" s="77">
        <v>0</v>
      </c>
      <c r="AG85" s="79">
        <v>0</v>
      </c>
      <c r="AH85" s="82" t="s">
        <v>187</v>
      </c>
      <c r="AI85" s="82" t="s">
        <v>237</v>
      </c>
      <c r="AJ85" s="82">
        <v>10000000032</v>
      </c>
    </row>
    <row r="86" spans="2:36" ht="15.6" x14ac:dyDescent="0.3">
      <c r="B86" s="88">
        <v>33</v>
      </c>
      <c r="C86" s="76" t="s">
        <v>128</v>
      </c>
      <c r="D86" s="88" t="s">
        <v>104</v>
      </c>
      <c r="E86" s="88"/>
      <c r="F86" s="76"/>
      <c r="G86" s="76"/>
      <c r="H86" s="76"/>
      <c r="I86" s="89" t="s">
        <v>295</v>
      </c>
      <c r="J86" s="89">
        <v>2021</v>
      </c>
      <c r="K86" s="76">
        <v>26</v>
      </c>
      <c r="L86" s="76">
        <v>2</v>
      </c>
      <c r="M86" s="76">
        <v>0</v>
      </c>
      <c r="N86" s="76">
        <v>26</v>
      </c>
      <c r="O86" s="77"/>
      <c r="P86" s="77">
        <v>0</v>
      </c>
      <c r="Q86" s="77">
        <v>0</v>
      </c>
      <c r="R86" s="77">
        <v>0</v>
      </c>
      <c r="S86" s="77">
        <v>0</v>
      </c>
      <c r="T86" s="77">
        <v>0</v>
      </c>
      <c r="U86" s="77">
        <v>0</v>
      </c>
      <c r="V86" s="77">
        <v>0</v>
      </c>
      <c r="W86" s="77">
        <v>0</v>
      </c>
      <c r="X86" s="77">
        <v>0</v>
      </c>
      <c r="Y86" s="77">
        <v>0</v>
      </c>
      <c r="Z86" s="77">
        <v>0</v>
      </c>
      <c r="AA86" s="78">
        <v>0.1</v>
      </c>
      <c r="AB86" s="77">
        <v>0</v>
      </c>
      <c r="AC86" s="77">
        <v>0</v>
      </c>
      <c r="AD86" s="77">
        <v>0</v>
      </c>
      <c r="AE86" s="77">
        <v>0</v>
      </c>
      <c r="AF86" s="77">
        <v>0</v>
      </c>
      <c r="AG86" s="79">
        <v>0</v>
      </c>
      <c r="AH86" s="82" t="s">
        <v>188</v>
      </c>
      <c r="AI86" s="82" t="s">
        <v>238</v>
      </c>
      <c r="AJ86" s="82">
        <v>10000000033</v>
      </c>
    </row>
    <row r="87" spans="2:36" ht="15.6" x14ac:dyDescent="0.3">
      <c r="B87" s="88">
        <v>34</v>
      </c>
      <c r="C87" s="76" t="s">
        <v>129</v>
      </c>
      <c r="D87" s="88" t="s">
        <v>105</v>
      </c>
      <c r="E87" s="88"/>
      <c r="F87" s="76"/>
      <c r="G87" s="76"/>
      <c r="H87" s="76"/>
      <c r="I87" s="89" t="s">
        <v>295</v>
      </c>
      <c r="J87" s="89">
        <v>2021</v>
      </c>
      <c r="K87" s="76">
        <v>26</v>
      </c>
      <c r="L87" s="76">
        <v>2</v>
      </c>
      <c r="M87" s="76">
        <v>4</v>
      </c>
      <c r="N87" s="76">
        <v>24</v>
      </c>
      <c r="O87" s="77"/>
      <c r="P87" s="77">
        <v>0</v>
      </c>
      <c r="Q87" s="77">
        <v>0</v>
      </c>
      <c r="R87" s="77">
        <v>0</v>
      </c>
      <c r="S87" s="77">
        <v>0</v>
      </c>
      <c r="T87" s="77">
        <v>0</v>
      </c>
      <c r="U87" s="77">
        <v>0</v>
      </c>
      <c r="V87" s="77">
        <v>0</v>
      </c>
      <c r="W87" s="77">
        <v>0</v>
      </c>
      <c r="X87" s="77">
        <v>0</v>
      </c>
      <c r="Y87" s="77">
        <v>0</v>
      </c>
      <c r="Z87" s="77">
        <v>0</v>
      </c>
      <c r="AA87" s="78">
        <v>0.1</v>
      </c>
      <c r="AB87" s="77">
        <v>0</v>
      </c>
      <c r="AC87" s="77">
        <v>0</v>
      </c>
      <c r="AD87" s="77">
        <v>0</v>
      </c>
      <c r="AE87" s="77">
        <v>0</v>
      </c>
      <c r="AF87" s="77">
        <v>0</v>
      </c>
      <c r="AG87" s="79">
        <v>0</v>
      </c>
      <c r="AH87" s="82" t="s">
        <v>189</v>
      </c>
      <c r="AI87" s="82" t="s">
        <v>239</v>
      </c>
      <c r="AJ87" s="82">
        <v>10000000034</v>
      </c>
    </row>
    <row r="88" spans="2:36" ht="15.6" x14ac:dyDescent="0.3">
      <c r="B88" s="88">
        <v>35</v>
      </c>
      <c r="C88" s="76" t="s">
        <v>130</v>
      </c>
      <c r="D88" s="88" t="s">
        <v>106</v>
      </c>
      <c r="E88" s="88"/>
      <c r="F88" s="76"/>
      <c r="G88" s="76"/>
      <c r="H88" s="76"/>
      <c r="I88" s="89" t="s">
        <v>295</v>
      </c>
      <c r="J88" s="89">
        <v>2021</v>
      </c>
      <c r="K88" s="76">
        <v>26</v>
      </c>
      <c r="L88" s="76">
        <v>2</v>
      </c>
      <c r="M88" s="76">
        <v>0</v>
      </c>
      <c r="N88" s="76">
        <v>26</v>
      </c>
      <c r="O88" s="77"/>
      <c r="P88" s="77">
        <v>0</v>
      </c>
      <c r="Q88" s="77">
        <v>0</v>
      </c>
      <c r="R88" s="77">
        <v>0</v>
      </c>
      <c r="S88" s="77">
        <v>0</v>
      </c>
      <c r="T88" s="77">
        <v>0</v>
      </c>
      <c r="U88" s="77">
        <v>0</v>
      </c>
      <c r="V88" s="77">
        <v>0</v>
      </c>
      <c r="W88" s="77">
        <v>0</v>
      </c>
      <c r="X88" s="77">
        <v>0</v>
      </c>
      <c r="Y88" s="77">
        <v>0</v>
      </c>
      <c r="Z88" s="77">
        <v>0</v>
      </c>
      <c r="AA88" s="78">
        <v>0.1</v>
      </c>
      <c r="AB88" s="77">
        <v>0</v>
      </c>
      <c r="AC88" s="77">
        <v>0</v>
      </c>
      <c r="AD88" s="77">
        <v>0</v>
      </c>
      <c r="AE88" s="77">
        <v>0</v>
      </c>
      <c r="AF88" s="77">
        <v>0</v>
      </c>
      <c r="AG88" s="79">
        <v>0</v>
      </c>
      <c r="AH88" s="82" t="s">
        <v>190</v>
      </c>
      <c r="AI88" s="82" t="s">
        <v>240</v>
      </c>
      <c r="AJ88" s="82">
        <v>10000000035</v>
      </c>
    </row>
    <row r="89" spans="2:36" ht="15.6" x14ac:dyDescent="0.3">
      <c r="B89" s="88">
        <v>36</v>
      </c>
      <c r="C89" s="76" t="s">
        <v>131</v>
      </c>
      <c r="D89" s="88" t="s">
        <v>107</v>
      </c>
      <c r="E89" s="88"/>
      <c r="F89" s="76"/>
      <c r="G89" s="76"/>
      <c r="H89" s="76"/>
      <c r="I89" s="89" t="s">
        <v>295</v>
      </c>
      <c r="J89" s="89">
        <v>2021</v>
      </c>
      <c r="K89" s="76">
        <v>26</v>
      </c>
      <c r="L89" s="76">
        <v>2</v>
      </c>
      <c r="M89" s="76">
        <v>0</v>
      </c>
      <c r="N89" s="76">
        <v>26</v>
      </c>
      <c r="O89" s="77"/>
      <c r="P89" s="77">
        <v>0</v>
      </c>
      <c r="Q89" s="77">
        <v>0</v>
      </c>
      <c r="R89" s="77">
        <v>0</v>
      </c>
      <c r="S89" s="77">
        <v>0</v>
      </c>
      <c r="T89" s="77">
        <v>0</v>
      </c>
      <c r="U89" s="77">
        <v>0</v>
      </c>
      <c r="V89" s="77">
        <v>0</v>
      </c>
      <c r="W89" s="77">
        <v>0</v>
      </c>
      <c r="X89" s="77">
        <v>0</v>
      </c>
      <c r="Y89" s="77">
        <v>0</v>
      </c>
      <c r="Z89" s="77">
        <v>0</v>
      </c>
      <c r="AA89" s="78">
        <v>0.1</v>
      </c>
      <c r="AB89" s="77">
        <v>0</v>
      </c>
      <c r="AC89" s="77">
        <v>0</v>
      </c>
      <c r="AD89" s="77">
        <v>0</v>
      </c>
      <c r="AE89" s="77">
        <v>0</v>
      </c>
      <c r="AF89" s="77">
        <v>0</v>
      </c>
      <c r="AG89" s="79">
        <v>0</v>
      </c>
      <c r="AH89" s="82" t="s">
        <v>191</v>
      </c>
      <c r="AI89" s="82" t="s">
        <v>241</v>
      </c>
      <c r="AJ89" s="82">
        <v>10000000036</v>
      </c>
    </row>
    <row r="90" spans="2:36" ht="15.6" x14ac:dyDescent="0.3">
      <c r="B90" s="88">
        <v>37</v>
      </c>
      <c r="C90" s="76" t="s">
        <v>132</v>
      </c>
      <c r="D90" s="88" t="s">
        <v>108</v>
      </c>
      <c r="E90" s="88"/>
      <c r="F90" s="76"/>
      <c r="G90" s="76"/>
      <c r="H90" s="76"/>
      <c r="I90" s="89" t="s">
        <v>295</v>
      </c>
      <c r="J90" s="89">
        <v>2021</v>
      </c>
      <c r="K90" s="76">
        <v>26</v>
      </c>
      <c r="L90" s="76">
        <v>2</v>
      </c>
      <c r="M90" s="76">
        <v>2</v>
      </c>
      <c r="N90" s="76">
        <v>26</v>
      </c>
      <c r="O90" s="77"/>
      <c r="P90" s="77">
        <v>0</v>
      </c>
      <c r="Q90" s="77">
        <v>0</v>
      </c>
      <c r="R90" s="77">
        <v>0</v>
      </c>
      <c r="S90" s="77">
        <v>0</v>
      </c>
      <c r="T90" s="77">
        <v>0</v>
      </c>
      <c r="U90" s="77">
        <v>0</v>
      </c>
      <c r="V90" s="77">
        <v>0</v>
      </c>
      <c r="W90" s="77">
        <v>0</v>
      </c>
      <c r="X90" s="77">
        <v>0</v>
      </c>
      <c r="Y90" s="77">
        <v>0</v>
      </c>
      <c r="Z90" s="77">
        <v>0</v>
      </c>
      <c r="AA90" s="78">
        <v>0.1</v>
      </c>
      <c r="AB90" s="77">
        <v>0</v>
      </c>
      <c r="AC90" s="77">
        <v>0</v>
      </c>
      <c r="AD90" s="77">
        <v>0</v>
      </c>
      <c r="AE90" s="77">
        <v>0</v>
      </c>
      <c r="AF90" s="77">
        <v>0</v>
      </c>
      <c r="AG90" s="79">
        <v>0</v>
      </c>
      <c r="AH90" s="82" t="s">
        <v>192</v>
      </c>
      <c r="AI90" s="82" t="s">
        <v>242</v>
      </c>
      <c r="AJ90" s="82">
        <v>10000000037</v>
      </c>
    </row>
    <row r="91" spans="2:36" ht="15.6" x14ac:dyDescent="0.3">
      <c r="B91" s="88">
        <v>38</v>
      </c>
      <c r="C91" s="76" t="s">
        <v>133</v>
      </c>
      <c r="D91" s="88" t="s">
        <v>109</v>
      </c>
      <c r="E91" s="88"/>
      <c r="F91" s="76"/>
      <c r="G91" s="76"/>
      <c r="H91" s="76"/>
      <c r="I91" s="89" t="s">
        <v>295</v>
      </c>
      <c r="J91" s="89">
        <v>2021</v>
      </c>
      <c r="K91" s="76">
        <v>26</v>
      </c>
      <c r="L91" s="76">
        <v>2</v>
      </c>
      <c r="M91" s="76">
        <v>0</v>
      </c>
      <c r="N91" s="76">
        <v>26</v>
      </c>
      <c r="O91" s="77"/>
      <c r="P91" s="77">
        <v>0</v>
      </c>
      <c r="Q91" s="77">
        <v>0</v>
      </c>
      <c r="R91" s="77">
        <v>0</v>
      </c>
      <c r="S91" s="77">
        <v>0</v>
      </c>
      <c r="T91" s="77">
        <v>0</v>
      </c>
      <c r="U91" s="77">
        <v>0</v>
      </c>
      <c r="V91" s="77">
        <v>0</v>
      </c>
      <c r="W91" s="77">
        <v>0</v>
      </c>
      <c r="X91" s="77">
        <v>0</v>
      </c>
      <c r="Y91" s="77">
        <v>0</v>
      </c>
      <c r="Z91" s="77">
        <v>0</v>
      </c>
      <c r="AA91" s="78">
        <v>0.1</v>
      </c>
      <c r="AB91" s="77">
        <v>0</v>
      </c>
      <c r="AC91" s="77">
        <v>0</v>
      </c>
      <c r="AD91" s="77">
        <v>0</v>
      </c>
      <c r="AE91" s="77">
        <v>0</v>
      </c>
      <c r="AF91" s="77">
        <v>0</v>
      </c>
      <c r="AG91" s="79">
        <v>0</v>
      </c>
      <c r="AH91" s="82" t="s">
        <v>193</v>
      </c>
      <c r="AI91" s="82" t="s">
        <v>243</v>
      </c>
      <c r="AJ91" s="82">
        <v>10000000038</v>
      </c>
    </row>
    <row r="92" spans="2:36" ht="15.6" x14ac:dyDescent="0.3">
      <c r="B92" s="88">
        <v>39</v>
      </c>
      <c r="C92" s="76" t="s">
        <v>134</v>
      </c>
      <c r="D92" s="88" t="s">
        <v>110</v>
      </c>
      <c r="E92" s="88"/>
      <c r="F92" s="76"/>
      <c r="G92" s="76"/>
      <c r="H92" s="76"/>
      <c r="I92" s="89" t="s">
        <v>295</v>
      </c>
      <c r="J92" s="89">
        <v>2021</v>
      </c>
      <c r="K92" s="76">
        <v>26</v>
      </c>
      <c r="L92" s="76">
        <v>2</v>
      </c>
      <c r="M92" s="76">
        <v>0</v>
      </c>
      <c r="N92" s="76">
        <v>26</v>
      </c>
      <c r="O92" s="77"/>
      <c r="P92" s="77">
        <v>0</v>
      </c>
      <c r="Q92" s="77">
        <v>0</v>
      </c>
      <c r="R92" s="77">
        <v>0</v>
      </c>
      <c r="S92" s="77">
        <v>0</v>
      </c>
      <c r="T92" s="77">
        <v>0</v>
      </c>
      <c r="U92" s="77">
        <v>0</v>
      </c>
      <c r="V92" s="77">
        <v>0</v>
      </c>
      <c r="W92" s="77">
        <v>0</v>
      </c>
      <c r="X92" s="77">
        <v>0</v>
      </c>
      <c r="Y92" s="77">
        <v>0</v>
      </c>
      <c r="Z92" s="77">
        <v>0</v>
      </c>
      <c r="AA92" s="78">
        <v>0.1</v>
      </c>
      <c r="AB92" s="77">
        <v>0</v>
      </c>
      <c r="AC92" s="77">
        <v>0</v>
      </c>
      <c r="AD92" s="77">
        <v>0</v>
      </c>
      <c r="AE92" s="77">
        <v>0</v>
      </c>
      <c r="AF92" s="77">
        <v>0</v>
      </c>
      <c r="AG92" s="79">
        <v>0</v>
      </c>
      <c r="AH92" s="82" t="s">
        <v>194</v>
      </c>
      <c r="AI92" s="82" t="s">
        <v>244</v>
      </c>
      <c r="AJ92" s="82">
        <v>10000000039</v>
      </c>
    </row>
    <row r="93" spans="2:36" ht="15.6" x14ac:dyDescent="0.3">
      <c r="B93" s="88">
        <v>40</v>
      </c>
      <c r="C93" s="76" t="s">
        <v>135</v>
      </c>
      <c r="D93" s="88" t="s">
        <v>111</v>
      </c>
      <c r="E93" s="88"/>
      <c r="F93" s="76"/>
      <c r="G93" s="76"/>
      <c r="H93" s="76"/>
      <c r="I93" s="89" t="s">
        <v>295</v>
      </c>
      <c r="J93" s="89">
        <v>2021</v>
      </c>
      <c r="K93" s="76">
        <v>26</v>
      </c>
      <c r="L93" s="76">
        <v>2</v>
      </c>
      <c r="M93" s="76">
        <v>0</v>
      </c>
      <c r="N93" s="76">
        <v>26</v>
      </c>
      <c r="O93" s="77"/>
      <c r="P93" s="77">
        <v>0</v>
      </c>
      <c r="Q93" s="77">
        <v>0</v>
      </c>
      <c r="R93" s="77">
        <v>0</v>
      </c>
      <c r="S93" s="77">
        <v>0</v>
      </c>
      <c r="T93" s="77">
        <v>0</v>
      </c>
      <c r="U93" s="77">
        <v>0</v>
      </c>
      <c r="V93" s="77">
        <v>0</v>
      </c>
      <c r="W93" s="77">
        <v>0</v>
      </c>
      <c r="X93" s="77">
        <v>0</v>
      </c>
      <c r="Y93" s="77">
        <v>0</v>
      </c>
      <c r="Z93" s="77">
        <v>0</v>
      </c>
      <c r="AA93" s="78">
        <v>0.1</v>
      </c>
      <c r="AB93" s="77">
        <v>0</v>
      </c>
      <c r="AC93" s="77">
        <v>0</v>
      </c>
      <c r="AD93" s="77">
        <v>0</v>
      </c>
      <c r="AE93" s="77">
        <v>0</v>
      </c>
      <c r="AF93" s="77">
        <v>0</v>
      </c>
      <c r="AG93" s="79">
        <v>0</v>
      </c>
      <c r="AH93" s="82" t="s">
        <v>195</v>
      </c>
      <c r="AI93" s="82" t="s">
        <v>245</v>
      </c>
      <c r="AJ93" s="82">
        <v>10000000040</v>
      </c>
    </row>
    <row r="94" spans="2:36" ht="15.6" x14ac:dyDescent="0.3">
      <c r="B94" s="88">
        <v>41</v>
      </c>
      <c r="C94" s="76" t="s">
        <v>136</v>
      </c>
      <c r="D94" s="88" t="s">
        <v>112</v>
      </c>
      <c r="E94" s="88"/>
      <c r="F94" s="76"/>
      <c r="G94" s="76"/>
      <c r="H94" s="76"/>
      <c r="I94" s="89" t="s">
        <v>295</v>
      </c>
      <c r="J94" s="89">
        <v>2021</v>
      </c>
      <c r="K94" s="76">
        <v>26</v>
      </c>
      <c r="L94" s="76">
        <v>2</v>
      </c>
      <c r="M94" s="76">
        <v>0</v>
      </c>
      <c r="N94" s="76">
        <v>26</v>
      </c>
      <c r="O94" s="77"/>
      <c r="P94" s="77">
        <v>0</v>
      </c>
      <c r="Q94" s="77">
        <v>0</v>
      </c>
      <c r="R94" s="77">
        <v>0</v>
      </c>
      <c r="S94" s="77">
        <v>0</v>
      </c>
      <c r="T94" s="77">
        <v>0</v>
      </c>
      <c r="U94" s="77">
        <v>0</v>
      </c>
      <c r="V94" s="77">
        <v>0</v>
      </c>
      <c r="W94" s="77">
        <v>0</v>
      </c>
      <c r="X94" s="77">
        <v>0</v>
      </c>
      <c r="Y94" s="77">
        <v>0</v>
      </c>
      <c r="Z94" s="77">
        <v>0</v>
      </c>
      <c r="AA94" s="78">
        <v>0.1</v>
      </c>
      <c r="AB94" s="77">
        <v>0</v>
      </c>
      <c r="AC94" s="77">
        <v>0</v>
      </c>
      <c r="AD94" s="77">
        <v>0</v>
      </c>
      <c r="AE94" s="77">
        <v>0</v>
      </c>
      <c r="AF94" s="77">
        <v>0</v>
      </c>
      <c r="AG94" s="79">
        <v>0</v>
      </c>
      <c r="AH94" s="82" t="s">
        <v>196</v>
      </c>
      <c r="AI94" s="82" t="s">
        <v>246</v>
      </c>
      <c r="AJ94" s="82">
        <v>10000000041</v>
      </c>
    </row>
    <row r="95" spans="2:36" ht="15.6" x14ac:dyDescent="0.3">
      <c r="B95" s="88">
        <v>42</v>
      </c>
      <c r="C95" s="76" t="s">
        <v>137</v>
      </c>
      <c r="D95" s="88" t="s">
        <v>113</v>
      </c>
      <c r="E95" s="88"/>
      <c r="F95" s="76"/>
      <c r="G95" s="76"/>
      <c r="H95" s="76"/>
      <c r="I95" s="89" t="s">
        <v>295</v>
      </c>
      <c r="J95" s="89">
        <v>2021</v>
      </c>
      <c r="K95" s="76">
        <v>26</v>
      </c>
      <c r="L95" s="76">
        <v>2</v>
      </c>
      <c r="M95" s="76">
        <v>0</v>
      </c>
      <c r="N95" s="76">
        <v>26</v>
      </c>
      <c r="O95" s="77"/>
      <c r="P95" s="77">
        <v>0</v>
      </c>
      <c r="Q95" s="77">
        <v>0</v>
      </c>
      <c r="R95" s="77">
        <v>0</v>
      </c>
      <c r="S95" s="77">
        <v>0</v>
      </c>
      <c r="T95" s="77">
        <v>0</v>
      </c>
      <c r="U95" s="77">
        <v>0</v>
      </c>
      <c r="V95" s="77">
        <v>0</v>
      </c>
      <c r="W95" s="77">
        <v>0</v>
      </c>
      <c r="X95" s="77">
        <v>0</v>
      </c>
      <c r="Y95" s="77">
        <v>0</v>
      </c>
      <c r="Z95" s="77">
        <v>0</v>
      </c>
      <c r="AA95" s="78">
        <v>0.1</v>
      </c>
      <c r="AB95" s="77">
        <v>0</v>
      </c>
      <c r="AC95" s="77">
        <v>0</v>
      </c>
      <c r="AD95" s="77">
        <v>0</v>
      </c>
      <c r="AE95" s="77">
        <v>0</v>
      </c>
      <c r="AF95" s="77">
        <v>0</v>
      </c>
      <c r="AG95" s="79">
        <v>0</v>
      </c>
      <c r="AH95" s="82" t="s">
        <v>197</v>
      </c>
      <c r="AI95" s="82" t="s">
        <v>247</v>
      </c>
      <c r="AJ95" s="82">
        <v>10000000042</v>
      </c>
    </row>
    <row r="96" spans="2:36" ht="15.6" x14ac:dyDescent="0.3">
      <c r="B96" s="88">
        <v>43</v>
      </c>
      <c r="C96" s="76" t="s">
        <v>138</v>
      </c>
      <c r="D96" s="88" t="s">
        <v>114</v>
      </c>
      <c r="E96" s="88"/>
      <c r="F96" s="76"/>
      <c r="G96" s="76"/>
      <c r="H96" s="76"/>
      <c r="I96" s="89" t="s">
        <v>295</v>
      </c>
      <c r="J96" s="89">
        <v>2021</v>
      </c>
      <c r="K96" s="76">
        <v>26</v>
      </c>
      <c r="L96" s="76">
        <v>2</v>
      </c>
      <c r="M96" s="76">
        <v>0</v>
      </c>
      <c r="N96" s="76">
        <v>26</v>
      </c>
      <c r="O96" s="77"/>
      <c r="P96" s="77">
        <v>0</v>
      </c>
      <c r="Q96" s="77">
        <v>0</v>
      </c>
      <c r="R96" s="77">
        <v>0</v>
      </c>
      <c r="S96" s="77">
        <v>0</v>
      </c>
      <c r="T96" s="77">
        <v>0</v>
      </c>
      <c r="U96" s="77">
        <v>0</v>
      </c>
      <c r="V96" s="77">
        <v>0</v>
      </c>
      <c r="W96" s="77">
        <v>0</v>
      </c>
      <c r="X96" s="77">
        <v>0</v>
      </c>
      <c r="Y96" s="77">
        <v>0</v>
      </c>
      <c r="Z96" s="77">
        <v>0</v>
      </c>
      <c r="AA96" s="78">
        <v>0.1</v>
      </c>
      <c r="AB96" s="77">
        <v>0</v>
      </c>
      <c r="AC96" s="77">
        <v>0</v>
      </c>
      <c r="AD96" s="77">
        <v>0</v>
      </c>
      <c r="AE96" s="77">
        <v>0</v>
      </c>
      <c r="AF96" s="77">
        <v>0</v>
      </c>
      <c r="AG96" s="79">
        <v>0</v>
      </c>
      <c r="AH96" s="82" t="s">
        <v>198</v>
      </c>
      <c r="AI96" s="82" t="s">
        <v>248</v>
      </c>
      <c r="AJ96" s="82">
        <v>10000000043</v>
      </c>
    </row>
    <row r="97" spans="2:36" ht="15.6" x14ac:dyDescent="0.3">
      <c r="B97" s="88">
        <v>44</v>
      </c>
      <c r="C97" s="76" t="s">
        <v>139</v>
      </c>
      <c r="D97" s="88" t="s">
        <v>115</v>
      </c>
      <c r="E97" s="88"/>
      <c r="F97" s="76"/>
      <c r="G97" s="76"/>
      <c r="H97" s="76"/>
      <c r="I97" s="89" t="s">
        <v>295</v>
      </c>
      <c r="J97" s="89">
        <v>2021</v>
      </c>
      <c r="K97" s="76">
        <v>26</v>
      </c>
      <c r="L97" s="76">
        <v>2</v>
      </c>
      <c r="M97" s="76">
        <v>4</v>
      </c>
      <c r="N97" s="76">
        <v>24</v>
      </c>
      <c r="O97" s="77"/>
      <c r="P97" s="77">
        <v>0</v>
      </c>
      <c r="Q97" s="77">
        <v>0</v>
      </c>
      <c r="R97" s="77">
        <v>0</v>
      </c>
      <c r="S97" s="77">
        <v>0</v>
      </c>
      <c r="T97" s="77">
        <v>0</v>
      </c>
      <c r="U97" s="77">
        <v>0</v>
      </c>
      <c r="V97" s="77">
        <v>0</v>
      </c>
      <c r="W97" s="77">
        <v>0</v>
      </c>
      <c r="X97" s="77">
        <v>0</v>
      </c>
      <c r="Y97" s="77">
        <v>0</v>
      </c>
      <c r="Z97" s="77">
        <v>0</v>
      </c>
      <c r="AA97" s="78">
        <v>0.1</v>
      </c>
      <c r="AB97" s="77">
        <v>0</v>
      </c>
      <c r="AC97" s="77">
        <v>0</v>
      </c>
      <c r="AD97" s="77">
        <v>0</v>
      </c>
      <c r="AE97" s="77">
        <v>0</v>
      </c>
      <c r="AF97" s="77">
        <v>0</v>
      </c>
      <c r="AG97" s="79">
        <v>0</v>
      </c>
      <c r="AH97" s="82" t="s">
        <v>199</v>
      </c>
      <c r="AI97" s="82" t="s">
        <v>249</v>
      </c>
      <c r="AJ97" s="82">
        <v>10000000044</v>
      </c>
    </row>
    <row r="98" spans="2:36" ht="15.6" x14ac:dyDescent="0.3">
      <c r="B98" s="88">
        <v>45</v>
      </c>
      <c r="C98" s="76" t="s">
        <v>140</v>
      </c>
      <c r="D98" s="88" t="s">
        <v>119</v>
      </c>
      <c r="E98" s="88"/>
      <c r="F98" s="76"/>
      <c r="G98" s="76"/>
      <c r="H98" s="76"/>
      <c r="I98" s="89" t="s">
        <v>295</v>
      </c>
      <c r="J98" s="89">
        <v>2021</v>
      </c>
      <c r="K98" s="76">
        <v>26</v>
      </c>
      <c r="L98" s="76">
        <v>2</v>
      </c>
      <c r="M98" s="76">
        <v>0</v>
      </c>
      <c r="N98" s="76">
        <v>26</v>
      </c>
      <c r="O98" s="77"/>
      <c r="P98" s="77">
        <v>0</v>
      </c>
      <c r="Q98" s="77">
        <v>0</v>
      </c>
      <c r="R98" s="77">
        <v>0</v>
      </c>
      <c r="S98" s="77">
        <v>0</v>
      </c>
      <c r="T98" s="77">
        <v>0</v>
      </c>
      <c r="U98" s="77">
        <v>0</v>
      </c>
      <c r="V98" s="77">
        <v>0</v>
      </c>
      <c r="W98" s="77">
        <v>0</v>
      </c>
      <c r="X98" s="77">
        <v>0</v>
      </c>
      <c r="Y98" s="77">
        <v>0</v>
      </c>
      <c r="Z98" s="77">
        <v>0</v>
      </c>
      <c r="AA98" s="78">
        <v>0.1</v>
      </c>
      <c r="AB98" s="77">
        <v>0</v>
      </c>
      <c r="AC98" s="77">
        <v>0</v>
      </c>
      <c r="AD98" s="77">
        <v>0</v>
      </c>
      <c r="AE98" s="77">
        <v>0</v>
      </c>
      <c r="AF98" s="77">
        <v>0</v>
      </c>
      <c r="AG98" s="79">
        <v>0</v>
      </c>
      <c r="AH98" s="82" t="s">
        <v>200</v>
      </c>
      <c r="AI98" s="82" t="s">
        <v>250</v>
      </c>
      <c r="AJ98" s="82">
        <v>10000000045</v>
      </c>
    </row>
    <row r="99" spans="2:36" ht="15.6" x14ac:dyDescent="0.3">
      <c r="B99" s="88">
        <v>46</v>
      </c>
      <c r="C99" s="76" t="s">
        <v>141</v>
      </c>
      <c r="D99" s="88" t="s">
        <v>116</v>
      </c>
      <c r="E99" s="88"/>
      <c r="F99" s="76"/>
      <c r="G99" s="76"/>
      <c r="H99" s="76"/>
      <c r="I99" s="89" t="s">
        <v>295</v>
      </c>
      <c r="J99" s="89">
        <v>2021</v>
      </c>
      <c r="K99" s="76">
        <v>26</v>
      </c>
      <c r="L99" s="76">
        <v>2</v>
      </c>
      <c r="M99" s="76">
        <v>0</v>
      </c>
      <c r="N99" s="76">
        <v>26</v>
      </c>
      <c r="O99" s="77"/>
      <c r="P99" s="77">
        <v>0</v>
      </c>
      <c r="Q99" s="77">
        <v>0</v>
      </c>
      <c r="R99" s="77">
        <v>0</v>
      </c>
      <c r="S99" s="77">
        <v>0</v>
      </c>
      <c r="T99" s="77">
        <v>0</v>
      </c>
      <c r="U99" s="77">
        <v>0</v>
      </c>
      <c r="V99" s="77">
        <v>0</v>
      </c>
      <c r="W99" s="77">
        <v>0</v>
      </c>
      <c r="X99" s="77">
        <v>0</v>
      </c>
      <c r="Y99" s="77">
        <v>0</v>
      </c>
      <c r="Z99" s="77">
        <v>0</v>
      </c>
      <c r="AA99" s="78">
        <v>0.1</v>
      </c>
      <c r="AB99" s="77">
        <v>0</v>
      </c>
      <c r="AC99" s="77">
        <v>0</v>
      </c>
      <c r="AD99" s="77">
        <v>0</v>
      </c>
      <c r="AE99" s="77">
        <v>0</v>
      </c>
      <c r="AF99" s="77">
        <v>0</v>
      </c>
      <c r="AG99" s="79">
        <v>0</v>
      </c>
      <c r="AH99" s="82" t="s">
        <v>201</v>
      </c>
      <c r="AI99" s="82" t="s">
        <v>251</v>
      </c>
      <c r="AJ99" s="82">
        <v>10000000046</v>
      </c>
    </row>
    <row r="100" spans="2:36" ht="15.6" x14ac:dyDescent="0.3">
      <c r="B100" s="88">
        <v>47</v>
      </c>
      <c r="C100" s="76" t="s">
        <v>142</v>
      </c>
      <c r="D100" s="88" t="s">
        <v>117</v>
      </c>
      <c r="E100" s="88"/>
      <c r="F100" s="76"/>
      <c r="G100" s="76"/>
      <c r="H100" s="76"/>
      <c r="I100" s="89" t="s">
        <v>295</v>
      </c>
      <c r="J100" s="89">
        <v>2021</v>
      </c>
      <c r="K100" s="76">
        <v>26</v>
      </c>
      <c r="L100" s="76">
        <v>2</v>
      </c>
      <c r="M100" s="76">
        <v>2</v>
      </c>
      <c r="N100" s="76">
        <v>26</v>
      </c>
      <c r="O100" s="77"/>
      <c r="P100" s="77">
        <v>0</v>
      </c>
      <c r="Q100" s="77">
        <v>0</v>
      </c>
      <c r="R100" s="77">
        <v>0</v>
      </c>
      <c r="S100" s="77">
        <v>0</v>
      </c>
      <c r="T100" s="77">
        <v>0</v>
      </c>
      <c r="U100" s="77">
        <v>0</v>
      </c>
      <c r="V100" s="77">
        <v>0</v>
      </c>
      <c r="W100" s="77">
        <v>0</v>
      </c>
      <c r="X100" s="77">
        <v>0</v>
      </c>
      <c r="Y100" s="77">
        <v>0</v>
      </c>
      <c r="Z100" s="77">
        <v>0</v>
      </c>
      <c r="AA100" s="78">
        <v>0.1</v>
      </c>
      <c r="AB100" s="77">
        <v>0</v>
      </c>
      <c r="AC100" s="77">
        <v>0</v>
      </c>
      <c r="AD100" s="77">
        <v>0</v>
      </c>
      <c r="AE100" s="77">
        <v>0</v>
      </c>
      <c r="AF100" s="77">
        <v>0</v>
      </c>
      <c r="AG100" s="79">
        <v>0</v>
      </c>
      <c r="AH100" s="82" t="s">
        <v>202</v>
      </c>
      <c r="AI100" s="82" t="s">
        <v>252</v>
      </c>
      <c r="AJ100" s="82">
        <v>10000000047</v>
      </c>
    </row>
    <row r="101" spans="2:36" ht="15.6" x14ac:dyDescent="0.3">
      <c r="B101" s="88">
        <v>48</v>
      </c>
      <c r="C101" s="76" t="s">
        <v>143</v>
      </c>
      <c r="D101" s="88" t="s">
        <v>118</v>
      </c>
      <c r="E101" s="88"/>
      <c r="F101" s="76"/>
      <c r="G101" s="76"/>
      <c r="H101" s="76"/>
      <c r="I101" s="89" t="s">
        <v>295</v>
      </c>
      <c r="J101" s="89">
        <v>2021</v>
      </c>
      <c r="K101" s="76">
        <v>26</v>
      </c>
      <c r="L101" s="76">
        <v>2</v>
      </c>
      <c r="M101" s="76">
        <v>0</v>
      </c>
      <c r="N101" s="76">
        <v>26</v>
      </c>
      <c r="O101" s="77"/>
      <c r="P101" s="77">
        <v>0</v>
      </c>
      <c r="Q101" s="77">
        <v>0</v>
      </c>
      <c r="R101" s="77">
        <v>0</v>
      </c>
      <c r="S101" s="77">
        <v>0</v>
      </c>
      <c r="T101" s="77">
        <v>0</v>
      </c>
      <c r="U101" s="77">
        <v>0</v>
      </c>
      <c r="V101" s="77">
        <v>0</v>
      </c>
      <c r="W101" s="77">
        <v>0</v>
      </c>
      <c r="X101" s="77">
        <v>0</v>
      </c>
      <c r="Y101" s="77">
        <v>0</v>
      </c>
      <c r="Z101" s="77">
        <v>0</v>
      </c>
      <c r="AA101" s="78">
        <v>0.1</v>
      </c>
      <c r="AB101" s="77">
        <v>0</v>
      </c>
      <c r="AC101" s="77">
        <v>0</v>
      </c>
      <c r="AD101" s="77">
        <v>0</v>
      </c>
      <c r="AE101" s="77">
        <v>0</v>
      </c>
      <c r="AF101" s="77">
        <v>0</v>
      </c>
      <c r="AG101" s="79">
        <v>0</v>
      </c>
      <c r="AH101" s="82" t="s">
        <v>203</v>
      </c>
      <c r="AI101" s="82" t="s">
        <v>253</v>
      </c>
      <c r="AJ101" s="82">
        <v>10000000048</v>
      </c>
    </row>
    <row r="102" spans="2:36" ht="15.6" x14ac:dyDescent="0.3">
      <c r="B102" s="88">
        <v>49</v>
      </c>
      <c r="C102" s="76" t="s">
        <v>144</v>
      </c>
      <c r="D102" s="88" t="s">
        <v>120</v>
      </c>
      <c r="E102" s="88"/>
      <c r="F102" s="76"/>
      <c r="G102" s="76"/>
      <c r="H102" s="76"/>
      <c r="I102" s="89" t="s">
        <v>295</v>
      </c>
      <c r="J102" s="89">
        <v>2021</v>
      </c>
      <c r="K102" s="76">
        <v>26</v>
      </c>
      <c r="L102" s="76">
        <v>2</v>
      </c>
      <c r="M102" s="76">
        <v>0</v>
      </c>
      <c r="N102" s="76">
        <v>26</v>
      </c>
      <c r="O102" s="77"/>
      <c r="P102" s="77">
        <v>0</v>
      </c>
      <c r="Q102" s="77">
        <v>0</v>
      </c>
      <c r="R102" s="77">
        <v>0</v>
      </c>
      <c r="S102" s="77">
        <v>0</v>
      </c>
      <c r="T102" s="77">
        <v>0</v>
      </c>
      <c r="U102" s="77">
        <v>0</v>
      </c>
      <c r="V102" s="77">
        <v>0</v>
      </c>
      <c r="W102" s="77">
        <v>0</v>
      </c>
      <c r="X102" s="77">
        <v>0</v>
      </c>
      <c r="Y102" s="77">
        <v>0</v>
      </c>
      <c r="Z102" s="77">
        <v>0</v>
      </c>
      <c r="AA102" s="78">
        <v>0.1</v>
      </c>
      <c r="AB102" s="77">
        <v>0</v>
      </c>
      <c r="AC102" s="77">
        <v>0</v>
      </c>
      <c r="AD102" s="77">
        <v>0</v>
      </c>
      <c r="AE102" s="77">
        <v>0</v>
      </c>
      <c r="AF102" s="77">
        <v>0</v>
      </c>
      <c r="AG102" s="79">
        <v>0</v>
      </c>
      <c r="AH102" s="82" t="s">
        <v>204</v>
      </c>
      <c r="AI102" s="82" t="s">
        <v>254</v>
      </c>
      <c r="AJ102" s="82">
        <v>10000000049</v>
      </c>
    </row>
    <row r="103" spans="2:36" ht="15.6" x14ac:dyDescent="0.3">
      <c r="B103" s="88">
        <v>50</v>
      </c>
      <c r="C103" s="76" t="s">
        <v>145</v>
      </c>
      <c r="D103" s="88" t="s">
        <v>121</v>
      </c>
      <c r="E103" s="88"/>
      <c r="F103" s="76"/>
      <c r="G103" s="76"/>
      <c r="H103" s="76"/>
      <c r="I103" s="89" t="s">
        <v>295</v>
      </c>
      <c r="J103" s="89">
        <v>2021</v>
      </c>
      <c r="K103" s="76">
        <v>26</v>
      </c>
      <c r="L103" s="76">
        <v>2</v>
      </c>
      <c r="M103" s="76">
        <v>0</v>
      </c>
      <c r="N103" s="76">
        <v>26</v>
      </c>
      <c r="O103" s="77"/>
      <c r="P103" s="77">
        <v>0</v>
      </c>
      <c r="Q103" s="77">
        <v>0</v>
      </c>
      <c r="R103" s="77">
        <v>0</v>
      </c>
      <c r="S103" s="77">
        <v>0</v>
      </c>
      <c r="T103" s="77">
        <v>0</v>
      </c>
      <c r="U103" s="77">
        <v>0</v>
      </c>
      <c r="V103" s="77">
        <v>0</v>
      </c>
      <c r="W103" s="77">
        <v>0</v>
      </c>
      <c r="X103" s="77">
        <v>0</v>
      </c>
      <c r="Y103" s="77">
        <v>0</v>
      </c>
      <c r="Z103" s="77">
        <v>0</v>
      </c>
      <c r="AA103" s="78">
        <v>0.1</v>
      </c>
      <c r="AB103" s="77">
        <v>0</v>
      </c>
      <c r="AC103" s="77">
        <v>0</v>
      </c>
      <c r="AD103" s="77">
        <v>0</v>
      </c>
      <c r="AE103" s="77">
        <v>0</v>
      </c>
      <c r="AF103" s="77">
        <v>0</v>
      </c>
      <c r="AG103" s="79">
        <v>0</v>
      </c>
      <c r="AH103" s="82" t="s">
        <v>205</v>
      </c>
      <c r="AI103" s="82" t="s">
        <v>255</v>
      </c>
      <c r="AJ103" s="82">
        <v>10000000050</v>
      </c>
    </row>
    <row r="104" spans="2:36" ht="15.6" x14ac:dyDescent="0.3">
      <c r="B104" s="88">
        <v>1</v>
      </c>
      <c r="C104" s="76" t="s">
        <v>31</v>
      </c>
      <c r="D104" s="88" t="s">
        <v>10</v>
      </c>
      <c r="E104" s="88" t="s">
        <v>57</v>
      </c>
      <c r="F104" s="76" t="s">
        <v>264</v>
      </c>
      <c r="G104" s="76" t="s">
        <v>78</v>
      </c>
      <c r="H104" s="76" t="s">
        <v>269</v>
      </c>
      <c r="I104" s="89" t="s">
        <v>294</v>
      </c>
      <c r="J104" s="89">
        <v>2021</v>
      </c>
      <c r="K104" s="76">
        <v>26</v>
      </c>
      <c r="L104" s="76">
        <v>2</v>
      </c>
      <c r="M104" s="76">
        <v>5</v>
      </c>
      <c r="N104" s="76">
        <v>23</v>
      </c>
      <c r="O104" s="77">
        <v>25000</v>
      </c>
      <c r="P104" s="77">
        <v>13269.23076923077</v>
      </c>
      <c r="Q104" s="77">
        <v>5869.0828402366869</v>
      </c>
      <c r="R104" s="77">
        <v>1200</v>
      </c>
      <c r="S104" s="77">
        <v>1061.5384615384614</v>
      </c>
      <c r="T104" s="77">
        <v>1250</v>
      </c>
      <c r="U104" s="77">
        <v>1105.7692307692309</v>
      </c>
      <c r="V104" s="77">
        <v>3411.6863905325445</v>
      </c>
      <c r="W104" s="77">
        <v>3018.0302685480201</v>
      </c>
      <c r="X104" s="77">
        <v>11054.420801092399</v>
      </c>
      <c r="Y104" s="77">
        <v>24323.651570323171</v>
      </c>
      <c r="Z104" s="77">
        <v>200</v>
      </c>
      <c r="AA104" s="78">
        <v>0.1</v>
      </c>
      <c r="AB104" s="77">
        <v>0</v>
      </c>
      <c r="AC104" s="77">
        <v>2918.8381884387804</v>
      </c>
      <c r="AD104" s="77">
        <v>5000</v>
      </c>
      <c r="AE104" s="77">
        <v>8118.83818843878</v>
      </c>
      <c r="AF104" s="77">
        <v>500</v>
      </c>
      <c r="AG104" s="79">
        <v>16704.813381884393</v>
      </c>
      <c r="AH104" s="82" t="s">
        <v>156</v>
      </c>
      <c r="AI104" s="82" t="s">
        <v>206</v>
      </c>
      <c r="AJ104" s="82">
        <v>10000000001</v>
      </c>
    </row>
    <row r="105" spans="2:36" ht="15.6" x14ac:dyDescent="0.3">
      <c r="B105" s="88">
        <v>2</v>
      </c>
      <c r="C105" s="76" t="s">
        <v>32</v>
      </c>
      <c r="D105" s="88" t="s">
        <v>11</v>
      </c>
      <c r="E105" s="88" t="s">
        <v>58</v>
      </c>
      <c r="F105" s="76" t="s">
        <v>265</v>
      </c>
      <c r="G105" s="76" t="s">
        <v>78</v>
      </c>
      <c r="H105" s="76" t="s">
        <v>269</v>
      </c>
      <c r="I105" s="89" t="s">
        <v>294</v>
      </c>
      <c r="J105" s="89">
        <v>2021</v>
      </c>
      <c r="K105" s="76">
        <v>26</v>
      </c>
      <c r="L105" s="76">
        <v>2</v>
      </c>
      <c r="M105" s="76">
        <v>1</v>
      </c>
      <c r="N105" s="76">
        <v>26</v>
      </c>
      <c r="O105" s="77">
        <v>15000</v>
      </c>
      <c r="P105" s="77">
        <v>9000</v>
      </c>
      <c r="Q105" s="77">
        <v>4500</v>
      </c>
      <c r="R105" s="77">
        <v>1200</v>
      </c>
      <c r="S105" s="77">
        <v>1200</v>
      </c>
      <c r="T105" s="77">
        <v>1000</v>
      </c>
      <c r="U105" s="77">
        <v>1000</v>
      </c>
      <c r="V105" s="77">
        <v>-700</v>
      </c>
      <c r="W105" s="77">
        <v>-700</v>
      </c>
      <c r="X105" s="77">
        <v>6000</v>
      </c>
      <c r="Y105" s="77">
        <v>15000</v>
      </c>
      <c r="Z105" s="77">
        <v>0</v>
      </c>
      <c r="AA105" s="78">
        <v>0.1</v>
      </c>
      <c r="AB105" s="77">
        <v>0</v>
      </c>
      <c r="AC105" s="77">
        <v>1800</v>
      </c>
      <c r="AD105" s="77">
        <v>0</v>
      </c>
      <c r="AE105" s="77">
        <v>1800</v>
      </c>
      <c r="AF105" s="77">
        <v>500</v>
      </c>
      <c r="AG105" s="79">
        <v>13700</v>
      </c>
      <c r="AH105" s="82" t="s">
        <v>157</v>
      </c>
      <c r="AI105" s="82" t="s">
        <v>207</v>
      </c>
      <c r="AJ105" s="82">
        <v>10000000002</v>
      </c>
    </row>
    <row r="106" spans="2:36" ht="15.6" x14ac:dyDescent="0.3">
      <c r="B106" s="88">
        <v>3</v>
      </c>
      <c r="C106" s="76" t="s">
        <v>33</v>
      </c>
      <c r="D106" s="88" t="s">
        <v>12</v>
      </c>
      <c r="E106" s="88" t="s">
        <v>59</v>
      </c>
      <c r="F106" s="76" t="s">
        <v>266</v>
      </c>
      <c r="G106" s="76" t="s">
        <v>78</v>
      </c>
      <c r="H106" s="76" t="s">
        <v>276</v>
      </c>
      <c r="I106" s="89" t="s">
        <v>294</v>
      </c>
      <c r="J106" s="89">
        <v>2021</v>
      </c>
      <c r="K106" s="76">
        <v>26</v>
      </c>
      <c r="L106" s="76">
        <v>2</v>
      </c>
      <c r="M106" s="76">
        <v>2</v>
      </c>
      <c r="N106" s="76">
        <v>26</v>
      </c>
      <c r="O106" s="77">
        <v>18000</v>
      </c>
      <c r="P106" s="77">
        <v>10800</v>
      </c>
      <c r="Q106" s="77">
        <v>5400</v>
      </c>
      <c r="R106" s="77">
        <v>1600</v>
      </c>
      <c r="S106" s="77">
        <v>1600</v>
      </c>
      <c r="T106" s="77">
        <v>1000</v>
      </c>
      <c r="U106" s="77">
        <v>1000</v>
      </c>
      <c r="V106" s="77">
        <v>-800</v>
      </c>
      <c r="W106" s="77">
        <v>-800</v>
      </c>
      <c r="X106" s="77">
        <v>7200</v>
      </c>
      <c r="Y106" s="77">
        <v>18000</v>
      </c>
      <c r="Z106" s="77">
        <v>150</v>
      </c>
      <c r="AA106" s="78">
        <v>0.1</v>
      </c>
      <c r="AB106" s="77">
        <v>0</v>
      </c>
      <c r="AC106" s="77">
        <v>2160</v>
      </c>
      <c r="AD106" s="77">
        <v>0</v>
      </c>
      <c r="AE106" s="77">
        <v>2310</v>
      </c>
      <c r="AF106" s="77">
        <v>500</v>
      </c>
      <c r="AG106" s="79">
        <v>16190</v>
      </c>
      <c r="AH106" s="82" t="s">
        <v>158</v>
      </c>
      <c r="AI106" s="82" t="s">
        <v>208</v>
      </c>
      <c r="AJ106" s="82">
        <v>10000000003</v>
      </c>
    </row>
    <row r="107" spans="2:36" ht="15.6" x14ac:dyDescent="0.3">
      <c r="B107" s="88">
        <v>4</v>
      </c>
      <c r="C107" s="76" t="s">
        <v>34</v>
      </c>
      <c r="D107" s="88" t="s">
        <v>13</v>
      </c>
      <c r="E107" s="88" t="s">
        <v>58</v>
      </c>
      <c r="F107" s="76" t="s">
        <v>267</v>
      </c>
      <c r="G107" s="76" t="s">
        <v>78</v>
      </c>
      <c r="H107" s="76" t="s">
        <v>269</v>
      </c>
      <c r="I107" s="89" t="s">
        <v>294</v>
      </c>
      <c r="J107" s="89">
        <v>2021</v>
      </c>
      <c r="K107" s="76">
        <v>26</v>
      </c>
      <c r="L107" s="76">
        <v>2</v>
      </c>
      <c r="M107" s="76">
        <v>0</v>
      </c>
      <c r="N107" s="76">
        <v>26</v>
      </c>
      <c r="O107" s="77">
        <v>14500</v>
      </c>
      <c r="P107" s="77">
        <v>8700</v>
      </c>
      <c r="Q107" s="77">
        <v>4350</v>
      </c>
      <c r="R107" s="77">
        <v>1200</v>
      </c>
      <c r="S107" s="77">
        <v>1200</v>
      </c>
      <c r="T107" s="77">
        <v>800</v>
      </c>
      <c r="U107" s="77">
        <v>800</v>
      </c>
      <c r="V107" s="77">
        <v>-550</v>
      </c>
      <c r="W107" s="77">
        <v>-550</v>
      </c>
      <c r="X107" s="77">
        <v>5800</v>
      </c>
      <c r="Y107" s="77">
        <v>14500</v>
      </c>
      <c r="Z107" s="77">
        <v>0</v>
      </c>
      <c r="AA107" s="78">
        <v>0.1</v>
      </c>
      <c r="AB107" s="77">
        <v>0</v>
      </c>
      <c r="AC107" s="77">
        <v>1800</v>
      </c>
      <c r="AD107" s="77">
        <v>0</v>
      </c>
      <c r="AE107" s="77">
        <v>1800</v>
      </c>
      <c r="AF107" s="77">
        <v>500</v>
      </c>
      <c r="AG107" s="79">
        <v>13200</v>
      </c>
      <c r="AH107" s="82" t="s">
        <v>159</v>
      </c>
      <c r="AI107" s="82" t="s">
        <v>209</v>
      </c>
      <c r="AJ107" s="82">
        <v>10000000004</v>
      </c>
    </row>
    <row r="108" spans="2:36" ht="15.6" x14ac:dyDescent="0.3">
      <c r="B108" s="88">
        <v>5</v>
      </c>
      <c r="C108" s="76" t="s">
        <v>35</v>
      </c>
      <c r="D108" s="88" t="s">
        <v>14</v>
      </c>
      <c r="E108" s="88" t="s">
        <v>51</v>
      </c>
      <c r="F108" s="76" t="s">
        <v>268</v>
      </c>
      <c r="G108" s="76" t="s">
        <v>78</v>
      </c>
      <c r="H108" s="76" t="s">
        <v>269</v>
      </c>
      <c r="I108" s="89" t="s">
        <v>294</v>
      </c>
      <c r="J108" s="89">
        <v>2021</v>
      </c>
      <c r="K108" s="76">
        <v>26</v>
      </c>
      <c r="L108" s="76">
        <v>2</v>
      </c>
      <c r="M108" s="76">
        <v>2</v>
      </c>
      <c r="N108" s="76">
        <v>26</v>
      </c>
      <c r="O108" s="77">
        <v>15200</v>
      </c>
      <c r="P108" s="77">
        <v>9120</v>
      </c>
      <c r="Q108" s="77">
        <v>4560</v>
      </c>
      <c r="R108" s="77">
        <v>1000</v>
      </c>
      <c r="S108" s="77">
        <v>1000</v>
      </c>
      <c r="T108" s="77">
        <v>1200</v>
      </c>
      <c r="U108" s="77">
        <v>1200</v>
      </c>
      <c r="V108" s="77">
        <v>-680</v>
      </c>
      <c r="W108" s="77">
        <v>-680</v>
      </c>
      <c r="X108" s="77">
        <v>6080</v>
      </c>
      <c r="Y108" s="77">
        <v>15200</v>
      </c>
      <c r="Z108" s="77">
        <v>150</v>
      </c>
      <c r="AA108" s="78">
        <v>0.1</v>
      </c>
      <c r="AB108" s="77">
        <v>0</v>
      </c>
      <c r="AC108" s="77">
        <v>1824</v>
      </c>
      <c r="AD108" s="77">
        <v>0</v>
      </c>
      <c r="AE108" s="77">
        <v>1974</v>
      </c>
      <c r="AF108" s="77">
        <v>500</v>
      </c>
      <c r="AG108" s="79">
        <v>13726</v>
      </c>
      <c r="AH108" s="82" t="s">
        <v>160</v>
      </c>
      <c r="AI108" s="82" t="s">
        <v>210</v>
      </c>
      <c r="AJ108" s="82">
        <v>10000000005</v>
      </c>
    </row>
    <row r="109" spans="2:36" ht="15.6" x14ac:dyDescent="0.3">
      <c r="B109" s="88">
        <v>6</v>
      </c>
      <c r="C109" s="76" t="s">
        <v>36</v>
      </c>
      <c r="D109" s="88" t="s">
        <v>16</v>
      </c>
      <c r="E109" s="88" t="s">
        <v>57</v>
      </c>
      <c r="F109" s="76" t="s">
        <v>269</v>
      </c>
      <c r="G109" s="76" t="s">
        <v>79</v>
      </c>
      <c r="H109" s="76" t="s">
        <v>276</v>
      </c>
      <c r="I109" s="89" t="s">
        <v>294</v>
      </c>
      <c r="J109" s="89">
        <v>2021</v>
      </c>
      <c r="K109" s="76">
        <v>26</v>
      </c>
      <c r="L109" s="76">
        <v>2</v>
      </c>
      <c r="M109" s="76">
        <v>1</v>
      </c>
      <c r="N109" s="76">
        <v>26</v>
      </c>
      <c r="O109" s="77">
        <v>18000</v>
      </c>
      <c r="P109" s="77">
        <v>10800</v>
      </c>
      <c r="Q109" s="77">
        <v>4320</v>
      </c>
      <c r="R109" s="77">
        <v>1600</v>
      </c>
      <c r="S109" s="77">
        <v>1600</v>
      </c>
      <c r="T109" s="77">
        <v>1250</v>
      </c>
      <c r="U109" s="77">
        <v>1250</v>
      </c>
      <c r="V109" s="77">
        <v>30</v>
      </c>
      <c r="W109" s="77">
        <v>29.999999999999996</v>
      </c>
      <c r="X109" s="77">
        <v>7200</v>
      </c>
      <c r="Y109" s="77">
        <v>18000</v>
      </c>
      <c r="Z109" s="77">
        <v>150</v>
      </c>
      <c r="AA109" s="78">
        <v>0.1</v>
      </c>
      <c r="AB109" s="77">
        <v>0</v>
      </c>
      <c r="AC109" s="77">
        <v>2160</v>
      </c>
      <c r="AD109" s="77">
        <v>0</v>
      </c>
      <c r="AE109" s="77">
        <v>2310</v>
      </c>
      <c r="AF109" s="77">
        <v>500</v>
      </c>
      <c r="AG109" s="79">
        <v>16190</v>
      </c>
      <c r="AH109" s="82" t="s">
        <v>161</v>
      </c>
      <c r="AI109" s="82" t="s">
        <v>211</v>
      </c>
      <c r="AJ109" s="82">
        <v>10000000006</v>
      </c>
    </row>
    <row r="110" spans="2:36" ht="15.6" x14ac:dyDescent="0.3">
      <c r="B110" s="88">
        <v>7</v>
      </c>
      <c r="C110" s="76" t="s">
        <v>37</v>
      </c>
      <c r="D110" s="88" t="s">
        <v>15</v>
      </c>
      <c r="E110" s="88" t="s">
        <v>53</v>
      </c>
      <c r="F110" s="76" t="s">
        <v>270</v>
      </c>
      <c r="G110" s="76" t="s">
        <v>79</v>
      </c>
      <c r="H110" s="76" t="s">
        <v>276</v>
      </c>
      <c r="I110" s="89" t="s">
        <v>294</v>
      </c>
      <c r="J110" s="89">
        <v>2021</v>
      </c>
      <c r="K110" s="76">
        <v>26</v>
      </c>
      <c r="L110" s="76">
        <v>2</v>
      </c>
      <c r="M110" s="76">
        <v>2</v>
      </c>
      <c r="N110" s="76">
        <v>26</v>
      </c>
      <c r="O110" s="77">
        <v>50000</v>
      </c>
      <c r="P110" s="77">
        <v>30000</v>
      </c>
      <c r="Q110" s="77">
        <v>12000</v>
      </c>
      <c r="R110" s="77">
        <v>1600</v>
      </c>
      <c r="S110" s="77">
        <v>1600</v>
      </c>
      <c r="T110" s="77">
        <v>1250</v>
      </c>
      <c r="U110" s="77">
        <v>1250</v>
      </c>
      <c r="V110" s="77">
        <v>5150</v>
      </c>
      <c r="W110" s="77">
        <v>5150</v>
      </c>
      <c r="X110" s="77">
        <v>20000</v>
      </c>
      <c r="Y110" s="77">
        <v>50000</v>
      </c>
      <c r="Z110" s="77">
        <v>200</v>
      </c>
      <c r="AA110" s="78">
        <v>0.1</v>
      </c>
      <c r="AB110" s="77">
        <v>5000</v>
      </c>
      <c r="AC110" s="77">
        <v>6000</v>
      </c>
      <c r="AD110" s="77">
        <v>0</v>
      </c>
      <c r="AE110" s="77">
        <v>11200</v>
      </c>
      <c r="AF110" s="77">
        <v>500</v>
      </c>
      <c r="AG110" s="79">
        <v>39300</v>
      </c>
      <c r="AH110" s="82" t="s">
        <v>162</v>
      </c>
      <c r="AI110" s="82" t="s">
        <v>212</v>
      </c>
      <c r="AJ110" s="82">
        <v>10000000007</v>
      </c>
    </row>
    <row r="111" spans="2:36" ht="15.6" x14ac:dyDescent="0.3">
      <c r="B111" s="88">
        <v>8</v>
      </c>
      <c r="C111" s="76" t="s">
        <v>38</v>
      </c>
      <c r="D111" s="88" t="s">
        <v>17</v>
      </c>
      <c r="E111" s="88" t="s">
        <v>52</v>
      </c>
      <c r="F111" s="76" t="s">
        <v>271</v>
      </c>
      <c r="G111" s="76" t="s">
        <v>79</v>
      </c>
      <c r="H111" s="76" t="s">
        <v>276</v>
      </c>
      <c r="I111" s="89" t="s">
        <v>294</v>
      </c>
      <c r="J111" s="89">
        <v>2021</v>
      </c>
      <c r="K111" s="76">
        <v>26</v>
      </c>
      <c r="L111" s="76">
        <v>2</v>
      </c>
      <c r="M111" s="76">
        <v>1</v>
      </c>
      <c r="N111" s="76">
        <v>26</v>
      </c>
      <c r="O111" s="77">
        <v>35000</v>
      </c>
      <c r="P111" s="77">
        <v>21000</v>
      </c>
      <c r="Q111" s="77">
        <v>8400</v>
      </c>
      <c r="R111" s="77">
        <v>1600</v>
      </c>
      <c r="S111" s="77">
        <v>1600</v>
      </c>
      <c r="T111" s="77">
        <v>1000</v>
      </c>
      <c r="U111" s="77">
        <v>1000</v>
      </c>
      <c r="V111" s="77">
        <v>3000</v>
      </c>
      <c r="W111" s="77">
        <v>3000</v>
      </c>
      <c r="X111" s="77">
        <v>14000</v>
      </c>
      <c r="Y111" s="77">
        <v>35000</v>
      </c>
      <c r="Z111" s="77">
        <v>200</v>
      </c>
      <c r="AA111" s="78">
        <v>0.1</v>
      </c>
      <c r="AB111" s="77">
        <v>0</v>
      </c>
      <c r="AC111" s="77">
        <v>4200</v>
      </c>
      <c r="AD111" s="77">
        <v>2000</v>
      </c>
      <c r="AE111" s="77">
        <v>6400</v>
      </c>
      <c r="AF111" s="77">
        <v>500</v>
      </c>
      <c r="AG111" s="79">
        <v>29100</v>
      </c>
      <c r="AH111" s="82" t="s">
        <v>163</v>
      </c>
      <c r="AI111" s="82" t="s">
        <v>213</v>
      </c>
      <c r="AJ111" s="82">
        <v>10000000008</v>
      </c>
    </row>
    <row r="112" spans="2:36" ht="15.6" x14ac:dyDescent="0.3">
      <c r="B112" s="88">
        <v>9</v>
      </c>
      <c r="C112" s="76" t="s">
        <v>39</v>
      </c>
      <c r="D112" s="88" t="s">
        <v>18</v>
      </c>
      <c r="E112" s="88" t="s">
        <v>58</v>
      </c>
      <c r="F112" s="76" t="s">
        <v>272</v>
      </c>
      <c r="G112" s="76" t="s">
        <v>78</v>
      </c>
      <c r="H112" s="76" t="s">
        <v>276</v>
      </c>
      <c r="I112" s="89" t="s">
        <v>294</v>
      </c>
      <c r="J112" s="89">
        <v>2021</v>
      </c>
      <c r="K112" s="76">
        <v>26</v>
      </c>
      <c r="L112" s="76">
        <v>2</v>
      </c>
      <c r="M112" s="76">
        <v>2</v>
      </c>
      <c r="N112" s="76">
        <v>26</v>
      </c>
      <c r="O112" s="77">
        <v>15000</v>
      </c>
      <c r="P112" s="77">
        <v>9000</v>
      </c>
      <c r="Q112" s="77">
        <v>4500</v>
      </c>
      <c r="R112" s="77">
        <v>1600</v>
      </c>
      <c r="S112" s="77">
        <v>1600</v>
      </c>
      <c r="T112" s="77">
        <v>1000</v>
      </c>
      <c r="U112" s="77">
        <v>1000</v>
      </c>
      <c r="V112" s="77">
        <v>-1100</v>
      </c>
      <c r="W112" s="77">
        <v>-1100</v>
      </c>
      <c r="X112" s="77">
        <v>6000</v>
      </c>
      <c r="Y112" s="77">
        <v>15000</v>
      </c>
      <c r="Z112" s="77">
        <v>150</v>
      </c>
      <c r="AA112" s="78">
        <v>0.1</v>
      </c>
      <c r="AB112" s="77">
        <v>0</v>
      </c>
      <c r="AC112" s="77">
        <v>1800</v>
      </c>
      <c r="AD112" s="77">
        <v>1500</v>
      </c>
      <c r="AE112" s="77">
        <v>3450</v>
      </c>
      <c r="AF112" s="77">
        <v>500</v>
      </c>
      <c r="AG112" s="79">
        <v>12050</v>
      </c>
      <c r="AH112" s="82" t="s">
        <v>164</v>
      </c>
      <c r="AI112" s="82" t="s">
        <v>214</v>
      </c>
      <c r="AJ112" s="82">
        <v>10000000009</v>
      </c>
    </row>
    <row r="113" spans="2:36" ht="15.6" x14ac:dyDescent="0.3">
      <c r="B113" s="88">
        <v>10</v>
      </c>
      <c r="C113" s="76" t="s">
        <v>40</v>
      </c>
      <c r="D113" s="88" t="s">
        <v>19</v>
      </c>
      <c r="E113" s="88" t="s">
        <v>67</v>
      </c>
      <c r="F113" s="76" t="s">
        <v>273</v>
      </c>
      <c r="G113" s="76" t="s">
        <v>78</v>
      </c>
      <c r="H113" s="76" t="s">
        <v>276</v>
      </c>
      <c r="I113" s="89" t="s">
        <v>294</v>
      </c>
      <c r="J113" s="89">
        <v>2021</v>
      </c>
      <c r="K113" s="76">
        <v>26</v>
      </c>
      <c r="L113" s="76">
        <v>2</v>
      </c>
      <c r="M113" s="76">
        <v>0</v>
      </c>
      <c r="N113" s="76">
        <v>26</v>
      </c>
      <c r="O113" s="77">
        <v>13500</v>
      </c>
      <c r="P113" s="77">
        <v>8100.0000000000009</v>
      </c>
      <c r="Q113" s="77">
        <v>4050</v>
      </c>
      <c r="R113" s="77">
        <v>1600</v>
      </c>
      <c r="S113" s="77">
        <v>1600</v>
      </c>
      <c r="T113" s="77">
        <v>800</v>
      </c>
      <c r="U113" s="77">
        <v>800</v>
      </c>
      <c r="V113" s="77">
        <v>-1050</v>
      </c>
      <c r="W113" s="77">
        <v>-1050</v>
      </c>
      <c r="X113" s="77">
        <v>5400</v>
      </c>
      <c r="Y113" s="77">
        <v>13500</v>
      </c>
      <c r="Z113" s="77">
        <v>0</v>
      </c>
      <c r="AA113" s="78">
        <v>0.1</v>
      </c>
      <c r="AB113" s="77">
        <v>0</v>
      </c>
      <c r="AC113" s="77">
        <v>1800</v>
      </c>
      <c r="AD113" s="77">
        <v>5000</v>
      </c>
      <c r="AE113" s="77">
        <v>6800</v>
      </c>
      <c r="AF113" s="77">
        <v>500</v>
      </c>
      <c r="AG113" s="79">
        <v>7200</v>
      </c>
      <c r="AH113" s="82" t="s">
        <v>165</v>
      </c>
      <c r="AI113" s="82" t="s">
        <v>215</v>
      </c>
      <c r="AJ113" s="82">
        <v>10000000010</v>
      </c>
    </row>
    <row r="114" spans="2:36" ht="15.6" x14ac:dyDescent="0.3">
      <c r="B114" s="88">
        <v>11</v>
      </c>
      <c r="C114" s="76" t="s">
        <v>41</v>
      </c>
      <c r="D114" s="88" t="s">
        <v>20</v>
      </c>
      <c r="E114" s="88" t="s">
        <v>54</v>
      </c>
      <c r="F114" s="76" t="s">
        <v>274</v>
      </c>
      <c r="G114" s="76" t="s">
        <v>78</v>
      </c>
      <c r="H114" s="76" t="s">
        <v>276</v>
      </c>
      <c r="I114" s="89" t="s">
        <v>294</v>
      </c>
      <c r="J114" s="89">
        <v>2021</v>
      </c>
      <c r="K114" s="76">
        <v>26</v>
      </c>
      <c r="L114" s="76">
        <v>2</v>
      </c>
      <c r="M114" s="76">
        <v>1</v>
      </c>
      <c r="N114" s="76">
        <v>26</v>
      </c>
      <c r="O114" s="77">
        <v>28000</v>
      </c>
      <c r="P114" s="77">
        <v>16800</v>
      </c>
      <c r="Q114" s="77">
        <v>8400</v>
      </c>
      <c r="R114" s="77">
        <v>1600</v>
      </c>
      <c r="S114" s="77">
        <v>1600</v>
      </c>
      <c r="T114" s="77">
        <v>1200</v>
      </c>
      <c r="U114" s="77">
        <v>1200</v>
      </c>
      <c r="V114" s="77">
        <v>0</v>
      </c>
      <c r="W114" s="77">
        <v>0</v>
      </c>
      <c r="X114" s="77">
        <v>11200</v>
      </c>
      <c r="Y114" s="77">
        <v>28000</v>
      </c>
      <c r="Z114" s="77">
        <v>200</v>
      </c>
      <c r="AA114" s="78">
        <v>0.1</v>
      </c>
      <c r="AB114" s="77">
        <v>0</v>
      </c>
      <c r="AC114" s="77">
        <v>3360</v>
      </c>
      <c r="AD114" s="77">
        <v>3500</v>
      </c>
      <c r="AE114" s="77">
        <v>7060</v>
      </c>
      <c r="AF114" s="77">
        <v>500</v>
      </c>
      <c r="AG114" s="79">
        <v>21440</v>
      </c>
      <c r="AH114" s="82" t="s">
        <v>166</v>
      </c>
      <c r="AI114" s="82" t="s">
        <v>216</v>
      </c>
      <c r="AJ114" s="82">
        <v>10000000011</v>
      </c>
    </row>
    <row r="115" spans="2:36" ht="15.6" x14ac:dyDescent="0.3">
      <c r="B115" s="88">
        <v>12</v>
      </c>
      <c r="C115" s="76" t="s">
        <v>42</v>
      </c>
      <c r="D115" s="88" t="s">
        <v>21</v>
      </c>
      <c r="E115" s="88" t="s">
        <v>55</v>
      </c>
      <c r="F115" s="76" t="s">
        <v>275</v>
      </c>
      <c r="G115" s="76" t="s">
        <v>78</v>
      </c>
      <c r="H115" s="76" t="s">
        <v>276</v>
      </c>
      <c r="I115" s="89" t="s">
        <v>294</v>
      </c>
      <c r="J115" s="89">
        <v>2021</v>
      </c>
      <c r="K115" s="76">
        <v>26</v>
      </c>
      <c r="L115" s="76">
        <v>2</v>
      </c>
      <c r="M115" s="76">
        <v>1</v>
      </c>
      <c r="N115" s="76">
        <v>26</v>
      </c>
      <c r="O115" s="77">
        <v>10000</v>
      </c>
      <c r="P115" s="77">
        <v>6000</v>
      </c>
      <c r="Q115" s="77">
        <v>3000</v>
      </c>
      <c r="R115" s="77">
        <v>1600</v>
      </c>
      <c r="S115" s="77">
        <v>1600</v>
      </c>
      <c r="T115" s="77">
        <v>1250</v>
      </c>
      <c r="U115" s="77">
        <v>1250</v>
      </c>
      <c r="V115" s="77">
        <v>-1850</v>
      </c>
      <c r="W115" s="77">
        <v>-1850.0000000000002</v>
      </c>
      <c r="X115" s="77">
        <v>4000</v>
      </c>
      <c r="Y115" s="77">
        <v>10000</v>
      </c>
      <c r="Z115" s="77">
        <v>0</v>
      </c>
      <c r="AA115" s="78">
        <v>0.1</v>
      </c>
      <c r="AB115" s="77">
        <v>0</v>
      </c>
      <c r="AC115" s="77">
        <v>1800</v>
      </c>
      <c r="AD115" s="77">
        <v>1500</v>
      </c>
      <c r="AE115" s="77">
        <v>3300</v>
      </c>
      <c r="AF115" s="77">
        <v>500</v>
      </c>
      <c r="AG115" s="79">
        <v>7200</v>
      </c>
      <c r="AH115" s="82" t="s">
        <v>167</v>
      </c>
      <c r="AI115" s="82" t="s">
        <v>217</v>
      </c>
      <c r="AJ115" s="82">
        <v>10000000012</v>
      </c>
    </row>
    <row r="116" spans="2:36" ht="15.6" x14ac:dyDescent="0.3">
      <c r="B116" s="88">
        <v>13</v>
      </c>
      <c r="C116" s="76" t="s">
        <v>43</v>
      </c>
      <c r="D116" s="88" t="s">
        <v>22</v>
      </c>
      <c r="E116" s="88" t="s">
        <v>56</v>
      </c>
      <c r="F116" s="76" t="s">
        <v>276</v>
      </c>
      <c r="G116" s="76" t="s">
        <v>78</v>
      </c>
      <c r="H116" s="76" t="s">
        <v>276</v>
      </c>
      <c r="I116" s="89" t="s">
        <v>294</v>
      </c>
      <c r="J116" s="89">
        <v>2021</v>
      </c>
      <c r="K116" s="76">
        <v>26</v>
      </c>
      <c r="L116" s="76">
        <v>2</v>
      </c>
      <c r="M116" s="76">
        <v>2</v>
      </c>
      <c r="N116" s="76">
        <v>26</v>
      </c>
      <c r="O116" s="77">
        <v>10000</v>
      </c>
      <c r="P116" s="77">
        <v>6000</v>
      </c>
      <c r="Q116" s="77">
        <v>3000</v>
      </c>
      <c r="R116" s="77">
        <v>1600</v>
      </c>
      <c r="S116" s="77">
        <v>1600</v>
      </c>
      <c r="T116" s="77">
        <v>1250</v>
      </c>
      <c r="U116" s="77">
        <v>1250</v>
      </c>
      <c r="V116" s="77">
        <v>-1850</v>
      </c>
      <c r="W116" s="77">
        <v>-1850.0000000000002</v>
      </c>
      <c r="X116" s="77">
        <v>4000</v>
      </c>
      <c r="Y116" s="77">
        <v>10000</v>
      </c>
      <c r="Z116" s="77">
        <v>0</v>
      </c>
      <c r="AA116" s="78">
        <v>0.1</v>
      </c>
      <c r="AB116" s="77">
        <v>0</v>
      </c>
      <c r="AC116" s="77">
        <v>1800</v>
      </c>
      <c r="AD116" s="77">
        <v>0</v>
      </c>
      <c r="AE116" s="77">
        <v>1800</v>
      </c>
      <c r="AF116" s="77">
        <v>500</v>
      </c>
      <c r="AG116" s="79">
        <v>8700</v>
      </c>
      <c r="AH116" s="82" t="s">
        <v>168</v>
      </c>
      <c r="AI116" s="82" t="s">
        <v>218</v>
      </c>
      <c r="AJ116" s="82">
        <v>10000000013</v>
      </c>
    </row>
    <row r="117" spans="2:36" ht="15.6" x14ac:dyDescent="0.3">
      <c r="B117" s="88">
        <v>14</v>
      </c>
      <c r="C117" s="76" t="s">
        <v>44</v>
      </c>
      <c r="D117" s="88" t="s">
        <v>23</v>
      </c>
      <c r="E117" s="88" t="s">
        <v>58</v>
      </c>
      <c r="F117" s="76" t="s">
        <v>277</v>
      </c>
      <c r="G117" s="76" t="s">
        <v>78</v>
      </c>
      <c r="H117" s="76" t="s">
        <v>269</v>
      </c>
      <c r="I117" s="89" t="s">
        <v>294</v>
      </c>
      <c r="J117" s="89">
        <v>2021</v>
      </c>
      <c r="K117" s="76">
        <v>26</v>
      </c>
      <c r="L117" s="76">
        <v>2</v>
      </c>
      <c r="M117" s="76">
        <v>0</v>
      </c>
      <c r="N117" s="76">
        <v>26</v>
      </c>
      <c r="O117" s="77">
        <v>18000</v>
      </c>
      <c r="P117" s="77">
        <v>10800</v>
      </c>
      <c r="Q117" s="77">
        <v>5400</v>
      </c>
      <c r="R117" s="77">
        <v>1600</v>
      </c>
      <c r="S117" s="77">
        <v>1600</v>
      </c>
      <c r="T117" s="77">
        <v>1000</v>
      </c>
      <c r="U117" s="77">
        <v>1000</v>
      </c>
      <c r="V117" s="77">
        <v>-800</v>
      </c>
      <c r="W117" s="77">
        <v>-800</v>
      </c>
      <c r="X117" s="77">
        <v>7200</v>
      </c>
      <c r="Y117" s="77">
        <v>18000</v>
      </c>
      <c r="Z117" s="77">
        <v>150</v>
      </c>
      <c r="AA117" s="78">
        <v>0.1</v>
      </c>
      <c r="AB117" s="77">
        <v>0</v>
      </c>
      <c r="AC117" s="77">
        <v>2160</v>
      </c>
      <c r="AD117" s="77">
        <v>0</v>
      </c>
      <c r="AE117" s="77">
        <v>2310</v>
      </c>
      <c r="AF117" s="77">
        <v>500</v>
      </c>
      <c r="AG117" s="79">
        <v>16190</v>
      </c>
      <c r="AH117" s="82" t="s">
        <v>169</v>
      </c>
      <c r="AI117" s="82" t="s">
        <v>219</v>
      </c>
      <c r="AJ117" s="82">
        <v>10000000014</v>
      </c>
    </row>
    <row r="118" spans="2:36" ht="15.6" x14ac:dyDescent="0.3">
      <c r="B118" s="88">
        <v>15</v>
      </c>
      <c r="C118" s="76" t="s">
        <v>45</v>
      </c>
      <c r="D118" s="88" t="s">
        <v>24</v>
      </c>
      <c r="E118" s="88" t="s">
        <v>59</v>
      </c>
      <c r="F118" s="76" t="s">
        <v>278</v>
      </c>
      <c r="G118" s="76" t="s">
        <v>78</v>
      </c>
      <c r="H118" s="76" t="s">
        <v>276</v>
      </c>
      <c r="I118" s="89" t="s">
        <v>294</v>
      </c>
      <c r="J118" s="89">
        <v>2021</v>
      </c>
      <c r="K118" s="76">
        <v>26</v>
      </c>
      <c r="L118" s="76">
        <v>2</v>
      </c>
      <c r="M118" s="76">
        <v>1</v>
      </c>
      <c r="N118" s="76">
        <v>26</v>
      </c>
      <c r="O118" s="77">
        <v>26000</v>
      </c>
      <c r="P118" s="77">
        <v>15600</v>
      </c>
      <c r="Q118" s="77">
        <v>7800</v>
      </c>
      <c r="R118" s="77">
        <v>1600</v>
      </c>
      <c r="S118" s="77">
        <v>1600</v>
      </c>
      <c r="T118" s="77">
        <v>1000</v>
      </c>
      <c r="U118" s="77">
        <v>1000</v>
      </c>
      <c r="V118" s="77">
        <v>0</v>
      </c>
      <c r="W118" s="77">
        <v>0</v>
      </c>
      <c r="X118" s="77">
        <v>10400</v>
      </c>
      <c r="Y118" s="77">
        <v>26000</v>
      </c>
      <c r="Z118" s="77">
        <v>200</v>
      </c>
      <c r="AA118" s="78">
        <v>0.1</v>
      </c>
      <c r="AB118" s="77">
        <v>0</v>
      </c>
      <c r="AC118" s="77">
        <v>3120</v>
      </c>
      <c r="AD118" s="77">
        <v>0</v>
      </c>
      <c r="AE118" s="77">
        <v>3320</v>
      </c>
      <c r="AF118" s="77">
        <v>500</v>
      </c>
      <c r="AG118" s="79">
        <v>23180</v>
      </c>
      <c r="AH118" s="82" t="s">
        <v>170</v>
      </c>
      <c r="AI118" s="82" t="s">
        <v>220</v>
      </c>
      <c r="AJ118" s="82">
        <v>10000000015</v>
      </c>
    </row>
    <row r="119" spans="2:36" ht="15.6" x14ac:dyDescent="0.3">
      <c r="B119" s="88">
        <v>16</v>
      </c>
      <c r="C119" s="76" t="s">
        <v>46</v>
      </c>
      <c r="D119" s="88" t="s">
        <v>25</v>
      </c>
      <c r="E119" s="88" t="s">
        <v>57</v>
      </c>
      <c r="F119" s="76" t="s">
        <v>279</v>
      </c>
      <c r="G119" s="76" t="s">
        <v>78</v>
      </c>
      <c r="H119" s="76" t="s">
        <v>276</v>
      </c>
      <c r="I119" s="89" t="s">
        <v>294</v>
      </c>
      <c r="J119" s="89">
        <v>2021</v>
      </c>
      <c r="K119" s="76">
        <v>26</v>
      </c>
      <c r="L119" s="76">
        <v>2</v>
      </c>
      <c r="M119" s="76">
        <v>1</v>
      </c>
      <c r="N119" s="76">
        <v>26</v>
      </c>
      <c r="O119" s="77">
        <v>22000</v>
      </c>
      <c r="P119" s="77">
        <v>13200</v>
      </c>
      <c r="Q119" s="77">
        <v>6600</v>
      </c>
      <c r="R119" s="77">
        <v>1600</v>
      </c>
      <c r="S119" s="77">
        <v>1600</v>
      </c>
      <c r="T119" s="77">
        <v>800</v>
      </c>
      <c r="U119" s="77">
        <v>800</v>
      </c>
      <c r="V119" s="77">
        <v>-200</v>
      </c>
      <c r="W119" s="77">
        <v>-200</v>
      </c>
      <c r="X119" s="77">
        <v>8800</v>
      </c>
      <c r="Y119" s="77">
        <v>22000</v>
      </c>
      <c r="Z119" s="77">
        <v>200</v>
      </c>
      <c r="AA119" s="78">
        <v>0.1</v>
      </c>
      <c r="AB119" s="77">
        <v>0</v>
      </c>
      <c r="AC119" s="77">
        <v>2640</v>
      </c>
      <c r="AD119" s="77">
        <v>0</v>
      </c>
      <c r="AE119" s="77">
        <v>2840</v>
      </c>
      <c r="AF119" s="77">
        <v>500</v>
      </c>
      <c r="AG119" s="79">
        <v>19660</v>
      </c>
      <c r="AH119" s="82" t="s">
        <v>171</v>
      </c>
      <c r="AI119" s="82" t="s">
        <v>221</v>
      </c>
      <c r="AJ119" s="82">
        <v>10000000016</v>
      </c>
    </row>
    <row r="120" spans="2:36" ht="15.6" x14ac:dyDescent="0.3">
      <c r="B120" s="88">
        <v>17</v>
      </c>
      <c r="C120" s="76" t="s">
        <v>47</v>
      </c>
      <c r="D120" s="88" t="s">
        <v>26</v>
      </c>
      <c r="E120" s="88" t="s">
        <v>58</v>
      </c>
      <c r="F120" s="76" t="s">
        <v>280</v>
      </c>
      <c r="G120" s="76" t="s">
        <v>78</v>
      </c>
      <c r="H120" s="76" t="s">
        <v>276</v>
      </c>
      <c r="I120" s="89" t="s">
        <v>294</v>
      </c>
      <c r="J120" s="89">
        <v>2021</v>
      </c>
      <c r="K120" s="76">
        <v>26</v>
      </c>
      <c r="L120" s="76">
        <v>2</v>
      </c>
      <c r="M120" s="76">
        <v>0</v>
      </c>
      <c r="N120" s="76">
        <v>26</v>
      </c>
      <c r="O120" s="77">
        <v>25000</v>
      </c>
      <c r="P120" s="77">
        <v>15000</v>
      </c>
      <c r="Q120" s="77">
        <v>7500</v>
      </c>
      <c r="R120" s="77">
        <v>1600</v>
      </c>
      <c r="S120" s="77">
        <v>1600</v>
      </c>
      <c r="T120" s="77">
        <v>1200</v>
      </c>
      <c r="U120" s="77">
        <v>1200</v>
      </c>
      <c r="V120" s="77">
        <v>-300</v>
      </c>
      <c r="W120" s="77">
        <v>-300</v>
      </c>
      <c r="X120" s="77">
        <v>10000</v>
      </c>
      <c r="Y120" s="77">
        <v>25000</v>
      </c>
      <c r="Z120" s="77">
        <v>200</v>
      </c>
      <c r="AA120" s="78">
        <v>0.1</v>
      </c>
      <c r="AB120" s="77">
        <v>0</v>
      </c>
      <c r="AC120" s="77">
        <v>3000</v>
      </c>
      <c r="AD120" s="77">
        <v>0</v>
      </c>
      <c r="AE120" s="77">
        <v>3200</v>
      </c>
      <c r="AF120" s="77">
        <v>500</v>
      </c>
      <c r="AG120" s="79">
        <v>22300</v>
      </c>
      <c r="AH120" s="82" t="s">
        <v>172</v>
      </c>
      <c r="AI120" s="82" t="s">
        <v>222</v>
      </c>
      <c r="AJ120" s="82">
        <v>10000000017</v>
      </c>
    </row>
    <row r="121" spans="2:36" ht="15.6" x14ac:dyDescent="0.3">
      <c r="B121" s="88">
        <v>18</v>
      </c>
      <c r="C121" s="76" t="s">
        <v>48</v>
      </c>
      <c r="D121" s="88" t="s">
        <v>9</v>
      </c>
      <c r="E121" s="88" t="s">
        <v>57</v>
      </c>
      <c r="F121" s="76" t="s">
        <v>281</v>
      </c>
      <c r="G121" s="76" t="s">
        <v>78</v>
      </c>
      <c r="H121" s="76" t="s">
        <v>276</v>
      </c>
      <c r="I121" s="89" t="s">
        <v>294</v>
      </c>
      <c r="J121" s="89">
        <v>2021</v>
      </c>
      <c r="K121" s="76">
        <v>26</v>
      </c>
      <c r="L121" s="76">
        <v>2</v>
      </c>
      <c r="M121" s="76">
        <v>2</v>
      </c>
      <c r="N121" s="76">
        <v>26</v>
      </c>
      <c r="O121" s="77">
        <v>12500</v>
      </c>
      <c r="P121" s="77">
        <v>7500</v>
      </c>
      <c r="Q121" s="77">
        <v>3750</v>
      </c>
      <c r="R121" s="77">
        <v>1600</v>
      </c>
      <c r="S121" s="77">
        <v>1600</v>
      </c>
      <c r="T121" s="77">
        <v>1250</v>
      </c>
      <c r="U121" s="77">
        <v>1250</v>
      </c>
      <c r="V121" s="77">
        <v>-1600</v>
      </c>
      <c r="W121" s="77">
        <v>-1600</v>
      </c>
      <c r="X121" s="77">
        <v>5000</v>
      </c>
      <c r="Y121" s="77">
        <v>12500</v>
      </c>
      <c r="Z121" s="77">
        <v>0</v>
      </c>
      <c r="AA121" s="78">
        <v>0.1</v>
      </c>
      <c r="AB121" s="77">
        <v>0</v>
      </c>
      <c r="AC121" s="77">
        <v>1800</v>
      </c>
      <c r="AD121" s="77">
        <v>0</v>
      </c>
      <c r="AE121" s="77">
        <v>1800</v>
      </c>
      <c r="AF121" s="77">
        <v>500</v>
      </c>
      <c r="AG121" s="79">
        <v>11200</v>
      </c>
      <c r="AH121" s="82" t="s">
        <v>173</v>
      </c>
      <c r="AI121" s="82" t="s">
        <v>223</v>
      </c>
      <c r="AJ121" s="82">
        <v>10000000018</v>
      </c>
    </row>
    <row r="122" spans="2:36" ht="15.6" x14ac:dyDescent="0.3">
      <c r="B122" s="88">
        <v>19</v>
      </c>
      <c r="C122" s="76" t="s">
        <v>49</v>
      </c>
      <c r="D122" s="88" t="s">
        <v>27</v>
      </c>
      <c r="E122" s="88" t="s">
        <v>57</v>
      </c>
      <c r="F122" s="76" t="s">
        <v>282</v>
      </c>
      <c r="G122" s="76" t="s">
        <v>78</v>
      </c>
      <c r="H122" s="76" t="s">
        <v>276</v>
      </c>
      <c r="I122" s="89" t="s">
        <v>294</v>
      </c>
      <c r="J122" s="89">
        <v>2021</v>
      </c>
      <c r="K122" s="76">
        <v>26</v>
      </c>
      <c r="L122" s="76">
        <v>2</v>
      </c>
      <c r="M122" s="76">
        <v>0</v>
      </c>
      <c r="N122" s="76">
        <v>26</v>
      </c>
      <c r="O122" s="77">
        <v>25000</v>
      </c>
      <c r="P122" s="77">
        <v>15000</v>
      </c>
      <c r="Q122" s="77">
        <v>7500</v>
      </c>
      <c r="R122" s="77">
        <v>1600</v>
      </c>
      <c r="S122" s="77">
        <v>1600</v>
      </c>
      <c r="T122" s="77">
        <v>1250</v>
      </c>
      <c r="U122" s="77">
        <v>1250</v>
      </c>
      <c r="V122" s="77">
        <v>-350</v>
      </c>
      <c r="W122" s="77">
        <v>-350</v>
      </c>
      <c r="X122" s="77">
        <v>10000</v>
      </c>
      <c r="Y122" s="77">
        <v>25000</v>
      </c>
      <c r="Z122" s="77">
        <v>200</v>
      </c>
      <c r="AA122" s="78">
        <v>0.1</v>
      </c>
      <c r="AB122" s="77">
        <v>0</v>
      </c>
      <c r="AC122" s="77">
        <v>3000</v>
      </c>
      <c r="AD122" s="77">
        <v>0</v>
      </c>
      <c r="AE122" s="77">
        <v>3200</v>
      </c>
      <c r="AF122" s="77">
        <v>500</v>
      </c>
      <c r="AG122" s="79">
        <v>22300</v>
      </c>
      <c r="AH122" s="82" t="s">
        <v>174</v>
      </c>
      <c r="AI122" s="82" t="s">
        <v>224</v>
      </c>
      <c r="AJ122" s="82">
        <v>10000000019</v>
      </c>
    </row>
    <row r="123" spans="2:36" ht="15.6" x14ac:dyDescent="0.3">
      <c r="B123" s="88">
        <v>20</v>
      </c>
      <c r="C123" s="76" t="s">
        <v>50</v>
      </c>
      <c r="D123" s="88" t="s">
        <v>28</v>
      </c>
      <c r="E123" s="88" t="s">
        <v>59</v>
      </c>
      <c r="F123" s="76" t="s">
        <v>283</v>
      </c>
      <c r="G123" s="76" t="s">
        <v>78</v>
      </c>
      <c r="H123" s="76" t="s">
        <v>276</v>
      </c>
      <c r="I123" s="89" t="s">
        <v>294</v>
      </c>
      <c r="J123" s="89">
        <v>2021</v>
      </c>
      <c r="K123" s="76">
        <v>26</v>
      </c>
      <c r="L123" s="76">
        <v>2</v>
      </c>
      <c r="M123" s="76">
        <v>1</v>
      </c>
      <c r="N123" s="76">
        <v>26</v>
      </c>
      <c r="O123" s="77">
        <v>25000</v>
      </c>
      <c r="P123" s="77">
        <v>15000</v>
      </c>
      <c r="Q123" s="77">
        <v>7500</v>
      </c>
      <c r="R123" s="77">
        <v>1600</v>
      </c>
      <c r="S123" s="77">
        <v>1600</v>
      </c>
      <c r="T123" s="77">
        <v>1000</v>
      </c>
      <c r="U123" s="77">
        <v>1000</v>
      </c>
      <c r="V123" s="77">
        <v>-100</v>
      </c>
      <c r="W123" s="77">
        <v>-100</v>
      </c>
      <c r="X123" s="77">
        <v>10000</v>
      </c>
      <c r="Y123" s="77">
        <v>25000</v>
      </c>
      <c r="Z123" s="77">
        <v>200</v>
      </c>
      <c r="AA123" s="78">
        <v>0.1</v>
      </c>
      <c r="AB123" s="77">
        <v>0</v>
      </c>
      <c r="AC123" s="77">
        <v>3000</v>
      </c>
      <c r="AD123" s="77">
        <v>0</v>
      </c>
      <c r="AE123" s="77">
        <v>3200</v>
      </c>
      <c r="AF123" s="77">
        <v>500</v>
      </c>
      <c r="AG123" s="79">
        <v>22300</v>
      </c>
      <c r="AH123" s="82" t="s">
        <v>175</v>
      </c>
      <c r="AI123" s="82" t="s">
        <v>225</v>
      </c>
      <c r="AJ123" s="82">
        <v>10000000020</v>
      </c>
    </row>
    <row r="124" spans="2:36" ht="15.6" x14ac:dyDescent="0.3">
      <c r="B124" s="88">
        <v>21</v>
      </c>
      <c r="C124" s="76" t="s">
        <v>61</v>
      </c>
      <c r="D124" s="88" t="s">
        <v>68</v>
      </c>
      <c r="E124" s="88"/>
      <c r="F124" s="76"/>
      <c r="G124" s="76"/>
      <c r="H124" s="76"/>
      <c r="I124" s="89" t="s">
        <v>294</v>
      </c>
      <c r="J124" s="89">
        <v>2021</v>
      </c>
      <c r="K124" s="76">
        <v>26</v>
      </c>
      <c r="L124" s="76">
        <v>2</v>
      </c>
      <c r="M124" s="76">
        <v>5</v>
      </c>
      <c r="N124" s="76">
        <v>23</v>
      </c>
      <c r="O124" s="77">
        <v>25000</v>
      </c>
      <c r="P124" s="77">
        <v>13269.23076923077</v>
      </c>
      <c r="Q124" s="77">
        <v>0</v>
      </c>
      <c r="R124" s="77">
        <v>1600</v>
      </c>
      <c r="S124" s="77">
        <v>1415.3846153846155</v>
      </c>
      <c r="T124" s="77">
        <v>1000</v>
      </c>
      <c r="U124" s="77">
        <v>884.61538461538453</v>
      </c>
      <c r="V124" s="77">
        <v>9130.7692307692305</v>
      </c>
      <c r="W124" s="77">
        <v>8077.2189349112423</v>
      </c>
      <c r="X124" s="77">
        <v>10377.218934911241</v>
      </c>
      <c r="Y124" s="77">
        <v>23646.449704142011</v>
      </c>
      <c r="Z124" s="77">
        <v>200</v>
      </c>
      <c r="AA124" s="78">
        <v>0.1</v>
      </c>
      <c r="AB124" s="77">
        <v>0</v>
      </c>
      <c r="AC124" s="77">
        <v>2837.5739644970413</v>
      </c>
      <c r="AD124" s="77">
        <v>0</v>
      </c>
      <c r="AE124" s="77">
        <v>3037.5739644970413</v>
      </c>
      <c r="AF124" s="77">
        <v>500</v>
      </c>
      <c r="AG124" s="79">
        <v>21108.875739644969</v>
      </c>
      <c r="AH124" s="82" t="s">
        <v>176</v>
      </c>
      <c r="AI124" s="82" t="s">
        <v>226</v>
      </c>
      <c r="AJ124" s="82">
        <v>10000000021</v>
      </c>
    </row>
    <row r="125" spans="2:36" ht="15.6" x14ac:dyDescent="0.3">
      <c r="B125" s="88">
        <v>22</v>
      </c>
      <c r="C125" s="76" t="s">
        <v>62</v>
      </c>
      <c r="D125" s="88" t="s">
        <v>69</v>
      </c>
      <c r="E125" s="88"/>
      <c r="F125" s="76"/>
      <c r="G125" s="76"/>
      <c r="H125" s="76"/>
      <c r="I125" s="89" t="s">
        <v>294</v>
      </c>
      <c r="J125" s="89">
        <v>2021</v>
      </c>
      <c r="K125" s="76">
        <v>26</v>
      </c>
      <c r="L125" s="76">
        <v>2</v>
      </c>
      <c r="M125" s="76">
        <v>0</v>
      </c>
      <c r="N125" s="76">
        <v>26</v>
      </c>
      <c r="O125" s="77">
        <v>25000</v>
      </c>
      <c r="P125" s="77">
        <v>15000</v>
      </c>
      <c r="Q125" s="77">
        <v>0</v>
      </c>
      <c r="R125" s="77">
        <v>1600</v>
      </c>
      <c r="S125" s="77">
        <v>1600</v>
      </c>
      <c r="T125" s="77">
        <v>800</v>
      </c>
      <c r="U125" s="77">
        <v>800</v>
      </c>
      <c r="V125" s="77">
        <v>7600</v>
      </c>
      <c r="W125" s="77">
        <v>7600</v>
      </c>
      <c r="X125" s="77">
        <v>10000</v>
      </c>
      <c r="Y125" s="77">
        <v>25000</v>
      </c>
      <c r="Z125" s="77">
        <v>200</v>
      </c>
      <c r="AA125" s="78">
        <v>0.1</v>
      </c>
      <c r="AB125" s="77">
        <v>0</v>
      </c>
      <c r="AC125" s="77">
        <v>3000</v>
      </c>
      <c r="AD125" s="77">
        <v>0</v>
      </c>
      <c r="AE125" s="77">
        <v>3200</v>
      </c>
      <c r="AF125" s="77">
        <v>500</v>
      </c>
      <c r="AG125" s="79">
        <v>22300</v>
      </c>
      <c r="AH125" s="82" t="s">
        <v>177</v>
      </c>
      <c r="AI125" s="82" t="s">
        <v>227</v>
      </c>
      <c r="AJ125" s="82">
        <v>10000000022</v>
      </c>
    </row>
    <row r="126" spans="2:36" ht="15.6" x14ac:dyDescent="0.3">
      <c r="B126" s="88">
        <v>23</v>
      </c>
      <c r="C126" s="76" t="s">
        <v>63</v>
      </c>
      <c r="D126" s="88" t="s">
        <v>70</v>
      </c>
      <c r="E126" s="88"/>
      <c r="F126" s="76"/>
      <c r="G126" s="76"/>
      <c r="H126" s="76"/>
      <c r="I126" s="89" t="s">
        <v>294</v>
      </c>
      <c r="J126" s="89">
        <v>2021</v>
      </c>
      <c r="K126" s="76">
        <v>26</v>
      </c>
      <c r="L126" s="76">
        <v>2</v>
      </c>
      <c r="M126" s="76">
        <v>0</v>
      </c>
      <c r="N126" s="76">
        <v>26</v>
      </c>
      <c r="O126" s="77">
        <v>25000</v>
      </c>
      <c r="P126" s="77">
        <v>15000</v>
      </c>
      <c r="Q126" s="77">
        <v>0</v>
      </c>
      <c r="R126" s="77">
        <v>1600</v>
      </c>
      <c r="S126" s="77">
        <v>1600</v>
      </c>
      <c r="T126" s="77">
        <v>1200</v>
      </c>
      <c r="U126" s="77">
        <v>1200</v>
      </c>
      <c r="V126" s="77">
        <v>7200</v>
      </c>
      <c r="W126" s="77">
        <v>7200</v>
      </c>
      <c r="X126" s="77">
        <v>10000</v>
      </c>
      <c r="Y126" s="77">
        <v>25000</v>
      </c>
      <c r="Z126" s="77">
        <v>200</v>
      </c>
      <c r="AA126" s="78">
        <v>0.1</v>
      </c>
      <c r="AB126" s="77">
        <v>0</v>
      </c>
      <c r="AC126" s="77">
        <v>3000</v>
      </c>
      <c r="AD126" s="77">
        <v>0</v>
      </c>
      <c r="AE126" s="77">
        <v>3200</v>
      </c>
      <c r="AF126" s="77">
        <v>500</v>
      </c>
      <c r="AG126" s="79">
        <v>22300</v>
      </c>
      <c r="AH126" s="82" t="s">
        <v>178</v>
      </c>
      <c r="AI126" s="82" t="s">
        <v>228</v>
      </c>
      <c r="AJ126" s="82">
        <v>10000000023</v>
      </c>
    </row>
    <row r="127" spans="2:36" ht="15.6" x14ac:dyDescent="0.3">
      <c r="B127" s="88">
        <v>24</v>
      </c>
      <c r="C127" s="76" t="s">
        <v>64</v>
      </c>
      <c r="D127" s="88" t="s">
        <v>71</v>
      </c>
      <c r="E127" s="88"/>
      <c r="F127" s="76"/>
      <c r="G127" s="76"/>
      <c r="H127" s="76"/>
      <c r="I127" s="89" t="s">
        <v>294</v>
      </c>
      <c r="J127" s="89">
        <v>2021</v>
      </c>
      <c r="K127" s="76">
        <v>26</v>
      </c>
      <c r="L127" s="76">
        <v>2</v>
      </c>
      <c r="M127" s="76">
        <v>0</v>
      </c>
      <c r="N127" s="76">
        <v>26</v>
      </c>
      <c r="O127" s="77">
        <v>25000</v>
      </c>
      <c r="P127" s="77">
        <v>15000</v>
      </c>
      <c r="Q127" s="77">
        <v>0</v>
      </c>
      <c r="R127" s="77">
        <v>1600</v>
      </c>
      <c r="S127" s="77">
        <v>1600</v>
      </c>
      <c r="T127" s="77">
        <v>1250</v>
      </c>
      <c r="U127" s="77">
        <v>1250</v>
      </c>
      <c r="V127" s="77">
        <v>7150</v>
      </c>
      <c r="W127" s="77">
        <v>7150</v>
      </c>
      <c r="X127" s="77">
        <v>10000</v>
      </c>
      <c r="Y127" s="77">
        <v>25000</v>
      </c>
      <c r="Z127" s="77">
        <v>200</v>
      </c>
      <c r="AA127" s="78">
        <v>0.1</v>
      </c>
      <c r="AB127" s="77">
        <v>0</v>
      </c>
      <c r="AC127" s="77">
        <v>3000</v>
      </c>
      <c r="AD127" s="77">
        <v>0</v>
      </c>
      <c r="AE127" s="77">
        <v>3200</v>
      </c>
      <c r="AF127" s="77">
        <v>500</v>
      </c>
      <c r="AG127" s="79">
        <v>22300</v>
      </c>
      <c r="AH127" s="82" t="s">
        <v>179</v>
      </c>
      <c r="AI127" s="82" t="s">
        <v>229</v>
      </c>
      <c r="AJ127" s="82">
        <v>10000000024</v>
      </c>
    </row>
    <row r="128" spans="2:36" ht="15.6" x14ac:dyDescent="0.3">
      <c r="B128" s="88">
        <v>25</v>
      </c>
      <c r="C128" s="76" t="s">
        <v>65</v>
      </c>
      <c r="D128" s="88" t="s">
        <v>72</v>
      </c>
      <c r="E128" s="88"/>
      <c r="F128" s="76"/>
      <c r="G128" s="76"/>
      <c r="H128" s="76"/>
      <c r="I128" s="89" t="s">
        <v>294</v>
      </c>
      <c r="J128" s="89">
        <v>2021</v>
      </c>
      <c r="K128" s="76">
        <v>26</v>
      </c>
      <c r="L128" s="76">
        <v>2</v>
      </c>
      <c r="M128" s="76">
        <v>1</v>
      </c>
      <c r="N128" s="76">
        <v>26</v>
      </c>
      <c r="O128" s="77">
        <v>25000</v>
      </c>
      <c r="P128" s="77">
        <v>15000</v>
      </c>
      <c r="Q128" s="77">
        <v>0</v>
      </c>
      <c r="R128" s="77">
        <v>1600</v>
      </c>
      <c r="S128" s="77">
        <v>1600</v>
      </c>
      <c r="T128" s="77">
        <v>0</v>
      </c>
      <c r="U128" s="77">
        <v>0</v>
      </c>
      <c r="V128" s="77">
        <v>8400</v>
      </c>
      <c r="W128" s="77">
        <v>8400</v>
      </c>
      <c r="X128" s="77">
        <v>10000</v>
      </c>
      <c r="Y128" s="77">
        <v>25000</v>
      </c>
      <c r="Z128" s="77">
        <v>200</v>
      </c>
      <c r="AA128" s="78">
        <v>0.1</v>
      </c>
      <c r="AB128" s="77">
        <v>0</v>
      </c>
      <c r="AC128" s="77">
        <v>3000</v>
      </c>
      <c r="AD128" s="77">
        <v>0</v>
      </c>
      <c r="AE128" s="77">
        <v>3200</v>
      </c>
      <c r="AF128" s="77">
        <v>500</v>
      </c>
      <c r="AG128" s="79">
        <v>22300</v>
      </c>
      <c r="AH128" s="82" t="s">
        <v>180</v>
      </c>
      <c r="AI128" s="82" t="s">
        <v>230</v>
      </c>
      <c r="AJ128" s="82">
        <v>10000000025</v>
      </c>
    </row>
    <row r="129" spans="2:36" ht="15.6" x14ac:dyDescent="0.3">
      <c r="B129" s="88">
        <v>26</v>
      </c>
      <c r="C129" s="76" t="s">
        <v>74</v>
      </c>
      <c r="D129" s="88" t="s">
        <v>73</v>
      </c>
      <c r="E129" s="88"/>
      <c r="F129" s="76"/>
      <c r="G129" s="76"/>
      <c r="H129" s="76"/>
      <c r="I129" s="89" t="s">
        <v>294</v>
      </c>
      <c r="J129" s="89">
        <v>2021</v>
      </c>
      <c r="K129" s="76">
        <v>26</v>
      </c>
      <c r="L129" s="76">
        <v>2</v>
      </c>
      <c r="M129" s="76">
        <v>0</v>
      </c>
      <c r="N129" s="76">
        <v>26</v>
      </c>
      <c r="O129" s="77">
        <v>25000</v>
      </c>
      <c r="P129" s="77">
        <v>15000</v>
      </c>
      <c r="Q129" s="77">
        <v>0</v>
      </c>
      <c r="R129" s="77">
        <v>1600</v>
      </c>
      <c r="S129" s="77">
        <v>1600</v>
      </c>
      <c r="T129" s="77">
        <v>0</v>
      </c>
      <c r="U129" s="77">
        <v>0</v>
      </c>
      <c r="V129" s="77">
        <v>8400</v>
      </c>
      <c r="W129" s="77">
        <v>8400</v>
      </c>
      <c r="X129" s="77">
        <v>10000</v>
      </c>
      <c r="Y129" s="77">
        <v>25000</v>
      </c>
      <c r="Z129" s="77">
        <v>200</v>
      </c>
      <c r="AA129" s="78">
        <v>0.1</v>
      </c>
      <c r="AB129" s="77">
        <v>0</v>
      </c>
      <c r="AC129" s="77">
        <v>3000</v>
      </c>
      <c r="AD129" s="77">
        <v>0</v>
      </c>
      <c r="AE129" s="77">
        <v>3200</v>
      </c>
      <c r="AF129" s="77">
        <v>500</v>
      </c>
      <c r="AG129" s="79">
        <v>22300</v>
      </c>
      <c r="AH129" s="82" t="s">
        <v>181</v>
      </c>
      <c r="AI129" s="82" t="s">
        <v>231</v>
      </c>
      <c r="AJ129" s="82">
        <v>10000000026</v>
      </c>
    </row>
    <row r="130" spans="2:36" ht="15.6" x14ac:dyDescent="0.3">
      <c r="B130" s="88">
        <v>27</v>
      </c>
      <c r="C130" s="76" t="s">
        <v>122</v>
      </c>
      <c r="D130" s="88" t="s">
        <v>99</v>
      </c>
      <c r="E130" s="88"/>
      <c r="F130" s="76"/>
      <c r="G130" s="76"/>
      <c r="H130" s="76"/>
      <c r="I130" s="89" t="s">
        <v>294</v>
      </c>
      <c r="J130" s="89">
        <v>2021</v>
      </c>
      <c r="K130" s="76">
        <v>26</v>
      </c>
      <c r="L130" s="76">
        <v>2</v>
      </c>
      <c r="M130" s="76">
        <v>1</v>
      </c>
      <c r="N130" s="76">
        <v>26</v>
      </c>
      <c r="O130" s="77"/>
      <c r="P130" s="77">
        <v>0</v>
      </c>
      <c r="Q130" s="77">
        <v>0</v>
      </c>
      <c r="R130" s="77">
        <v>0</v>
      </c>
      <c r="S130" s="77">
        <v>0</v>
      </c>
      <c r="T130" s="77">
        <v>0</v>
      </c>
      <c r="U130" s="77">
        <v>0</v>
      </c>
      <c r="V130" s="77">
        <v>0</v>
      </c>
      <c r="W130" s="77">
        <v>0</v>
      </c>
      <c r="X130" s="77">
        <v>0</v>
      </c>
      <c r="Y130" s="77">
        <v>0</v>
      </c>
      <c r="Z130" s="77">
        <v>0</v>
      </c>
      <c r="AA130" s="78">
        <v>0.1</v>
      </c>
      <c r="AB130" s="77">
        <v>0</v>
      </c>
      <c r="AC130" s="77">
        <v>0</v>
      </c>
      <c r="AD130" s="77">
        <v>0</v>
      </c>
      <c r="AE130" s="77">
        <v>0</v>
      </c>
      <c r="AF130" s="77">
        <v>0</v>
      </c>
      <c r="AG130" s="79">
        <v>0</v>
      </c>
      <c r="AH130" s="82" t="s">
        <v>182</v>
      </c>
      <c r="AI130" s="82" t="s">
        <v>232</v>
      </c>
      <c r="AJ130" s="82">
        <v>10000000027</v>
      </c>
    </row>
    <row r="131" spans="2:36" ht="15.6" x14ac:dyDescent="0.3">
      <c r="B131" s="88">
        <v>28</v>
      </c>
      <c r="C131" s="76" t="s">
        <v>123</v>
      </c>
      <c r="D131" s="88" t="s">
        <v>98</v>
      </c>
      <c r="E131" s="88"/>
      <c r="F131" s="76"/>
      <c r="G131" s="76"/>
      <c r="H131" s="76"/>
      <c r="I131" s="89" t="s">
        <v>294</v>
      </c>
      <c r="J131" s="89">
        <v>2021</v>
      </c>
      <c r="K131" s="76">
        <v>26</v>
      </c>
      <c r="L131" s="76">
        <v>2</v>
      </c>
      <c r="M131" s="76">
        <v>1</v>
      </c>
      <c r="N131" s="76">
        <v>26</v>
      </c>
      <c r="O131" s="77"/>
      <c r="P131" s="77">
        <v>0</v>
      </c>
      <c r="Q131" s="77">
        <v>0</v>
      </c>
      <c r="R131" s="77">
        <v>0</v>
      </c>
      <c r="S131" s="77">
        <v>0</v>
      </c>
      <c r="T131" s="77">
        <v>0</v>
      </c>
      <c r="U131" s="77">
        <v>0</v>
      </c>
      <c r="V131" s="77">
        <v>0</v>
      </c>
      <c r="W131" s="77">
        <v>0</v>
      </c>
      <c r="X131" s="77">
        <v>0</v>
      </c>
      <c r="Y131" s="77">
        <v>0</v>
      </c>
      <c r="Z131" s="77">
        <v>0</v>
      </c>
      <c r="AA131" s="78">
        <v>0.1</v>
      </c>
      <c r="AB131" s="77">
        <v>0</v>
      </c>
      <c r="AC131" s="77">
        <v>0</v>
      </c>
      <c r="AD131" s="77">
        <v>0</v>
      </c>
      <c r="AE131" s="77">
        <v>0</v>
      </c>
      <c r="AF131" s="77">
        <v>0</v>
      </c>
      <c r="AG131" s="79">
        <v>0</v>
      </c>
      <c r="AH131" s="82" t="s">
        <v>183</v>
      </c>
      <c r="AI131" s="82" t="s">
        <v>233</v>
      </c>
      <c r="AJ131" s="82">
        <v>10000000028</v>
      </c>
    </row>
    <row r="132" spans="2:36" ht="15.6" x14ac:dyDescent="0.3">
      <c r="B132" s="88">
        <v>29</v>
      </c>
      <c r="C132" s="76" t="s">
        <v>124</v>
      </c>
      <c r="D132" s="88" t="s">
        <v>100</v>
      </c>
      <c r="E132" s="88"/>
      <c r="F132" s="76"/>
      <c r="G132" s="76"/>
      <c r="H132" s="76"/>
      <c r="I132" s="89" t="s">
        <v>294</v>
      </c>
      <c r="J132" s="89">
        <v>2021</v>
      </c>
      <c r="K132" s="76">
        <v>26</v>
      </c>
      <c r="L132" s="76">
        <v>2</v>
      </c>
      <c r="M132" s="76">
        <v>9</v>
      </c>
      <c r="N132" s="76">
        <v>19</v>
      </c>
      <c r="O132" s="77"/>
      <c r="P132" s="77">
        <v>0</v>
      </c>
      <c r="Q132" s="77">
        <v>0</v>
      </c>
      <c r="R132" s="77">
        <v>0</v>
      </c>
      <c r="S132" s="77">
        <v>0</v>
      </c>
      <c r="T132" s="77">
        <v>0</v>
      </c>
      <c r="U132" s="77">
        <v>0</v>
      </c>
      <c r="V132" s="77">
        <v>0</v>
      </c>
      <c r="W132" s="77">
        <v>0</v>
      </c>
      <c r="X132" s="77">
        <v>0</v>
      </c>
      <c r="Y132" s="77">
        <v>0</v>
      </c>
      <c r="Z132" s="77">
        <v>0</v>
      </c>
      <c r="AA132" s="78">
        <v>0.1</v>
      </c>
      <c r="AB132" s="77">
        <v>0</v>
      </c>
      <c r="AC132" s="77">
        <v>0</v>
      </c>
      <c r="AD132" s="77">
        <v>0</v>
      </c>
      <c r="AE132" s="77">
        <v>0</v>
      </c>
      <c r="AF132" s="77">
        <v>0</v>
      </c>
      <c r="AG132" s="79">
        <v>0</v>
      </c>
      <c r="AH132" s="82" t="s">
        <v>184</v>
      </c>
      <c r="AI132" s="82" t="s">
        <v>234</v>
      </c>
      <c r="AJ132" s="82">
        <v>10000000029</v>
      </c>
    </row>
    <row r="133" spans="2:36" ht="15.6" x14ac:dyDescent="0.3">
      <c r="B133" s="88">
        <v>30</v>
      </c>
      <c r="C133" s="76" t="s">
        <v>125</v>
      </c>
      <c r="D133" s="88" t="s">
        <v>101</v>
      </c>
      <c r="E133" s="88"/>
      <c r="F133" s="76"/>
      <c r="G133" s="76"/>
      <c r="H133" s="76"/>
      <c r="I133" s="89" t="s">
        <v>294</v>
      </c>
      <c r="J133" s="89">
        <v>2021</v>
      </c>
      <c r="K133" s="76">
        <v>26</v>
      </c>
      <c r="L133" s="76">
        <v>2</v>
      </c>
      <c r="M133" s="76">
        <v>0</v>
      </c>
      <c r="N133" s="76">
        <v>26</v>
      </c>
      <c r="O133" s="77"/>
      <c r="P133" s="77">
        <v>0</v>
      </c>
      <c r="Q133" s="77">
        <v>0</v>
      </c>
      <c r="R133" s="77">
        <v>0</v>
      </c>
      <c r="S133" s="77">
        <v>0</v>
      </c>
      <c r="T133" s="77">
        <v>0</v>
      </c>
      <c r="U133" s="77">
        <v>0</v>
      </c>
      <c r="V133" s="77">
        <v>0</v>
      </c>
      <c r="W133" s="77">
        <v>0</v>
      </c>
      <c r="X133" s="77">
        <v>0</v>
      </c>
      <c r="Y133" s="77">
        <v>0</v>
      </c>
      <c r="Z133" s="77">
        <v>0</v>
      </c>
      <c r="AA133" s="78">
        <v>0.1</v>
      </c>
      <c r="AB133" s="77">
        <v>0</v>
      </c>
      <c r="AC133" s="77">
        <v>0</v>
      </c>
      <c r="AD133" s="77">
        <v>0</v>
      </c>
      <c r="AE133" s="77">
        <v>0</v>
      </c>
      <c r="AF133" s="77">
        <v>0</v>
      </c>
      <c r="AG133" s="79">
        <v>0</v>
      </c>
      <c r="AH133" s="82" t="s">
        <v>185</v>
      </c>
      <c r="AI133" s="82" t="s">
        <v>235</v>
      </c>
      <c r="AJ133" s="82">
        <v>10000000030</v>
      </c>
    </row>
    <row r="134" spans="2:36" ht="15.6" x14ac:dyDescent="0.3">
      <c r="B134" s="88">
        <v>31</v>
      </c>
      <c r="C134" s="76" t="s">
        <v>126</v>
      </c>
      <c r="D134" s="88" t="s">
        <v>102</v>
      </c>
      <c r="E134" s="88"/>
      <c r="F134" s="76"/>
      <c r="G134" s="76"/>
      <c r="H134" s="76"/>
      <c r="I134" s="89" t="s">
        <v>294</v>
      </c>
      <c r="J134" s="89">
        <v>2021</v>
      </c>
      <c r="K134" s="76">
        <v>26</v>
      </c>
      <c r="L134" s="76">
        <v>2</v>
      </c>
      <c r="M134" s="76">
        <v>0</v>
      </c>
      <c r="N134" s="76">
        <v>26</v>
      </c>
      <c r="O134" s="77"/>
      <c r="P134" s="77">
        <v>0</v>
      </c>
      <c r="Q134" s="77">
        <v>0</v>
      </c>
      <c r="R134" s="77">
        <v>0</v>
      </c>
      <c r="S134" s="77">
        <v>0</v>
      </c>
      <c r="T134" s="77">
        <v>0</v>
      </c>
      <c r="U134" s="77">
        <v>0</v>
      </c>
      <c r="V134" s="77">
        <v>0</v>
      </c>
      <c r="W134" s="77">
        <v>0</v>
      </c>
      <c r="X134" s="77">
        <v>0</v>
      </c>
      <c r="Y134" s="77">
        <v>0</v>
      </c>
      <c r="Z134" s="77">
        <v>0</v>
      </c>
      <c r="AA134" s="78">
        <v>0.1</v>
      </c>
      <c r="AB134" s="77">
        <v>0</v>
      </c>
      <c r="AC134" s="77">
        <v>0</v>
      </c>
      <c r="AD134" s="77">
        <v>0</v>
      </c>
      <c r="AE134" s="77">
        <v>0</v>
      </c>
      <c r="AF134" s="77">
        <v>0</v>
      </c>
      <c r="AG134" s="79">
        <v>0</v>
      </c>
      <c r="AH134" s="82" t="s">
        <v>186</v>
      </c>
      <c r="AI134" s="82" t="s">
        <v>236</v>
      </c>
      <c r="AJ134" s="82">
        <v>10000000031</v>
      </c>
    </row>
    <row r="135" spans="2:36" ht="15.6" x14ac:dyDescent="0.3">
      <c r="B135" s="88">
        <v>32</v>
      </c>
      <c r="C135" s="76" t="s">
        <v>127</v>
      </c>
      <c r="D135" s="88" t="s">
        <v>103</v>
      </c>
      <c r="E135" s="88"/>
      <c r="F135" s="76"/>
      <c r="G135" s="76"/>
      <c r="H135" s="76"/>
      <c r="I135" s="89" t="s">
        <v>294</v>
      </c>
      <c r="J135" s="89">
        <v>2021</v>
      </c>
      <c r="K135" s="76">
        <v>26</v>
      </c>
      <c r="L135" s="76">
        <v>2</v>
      </c>
      <c r="M135" s="76">
        <v>2</v>
      </c>
      <c r="N135" s="76">
        <v>26</v>
      </c>
      <c r="O135" s="77"/>
      <c r="P135" s="77">
        <v>0</v>
      </c>
      <c r="Q135" s="77">
        <v>0</v>
      </c>
      <c r="R135" s="77">
        <v>0</v>
      </c>
      <c r="S135" s="77">
        <v>0</v>
      </c>
      <c r="T135" s="77">
        <v>0</v>
      </c>
      <c r="U135" s="77">
        <v>0</v>
      </c>
      <c r="V135" s="77">
        <v>0</v>
      </c>
      <c r="W135" s="77">
        <v>0</v>
      </c>
      <c r="X135" s="77">
        <v>0</v>
      </c>
      <c r="Y135" s="77">
        <v>0</v>
      </c>
      <c r="Z135" s="77">
        <v>0</v>
      </c>
      <c r="AA135" s="78">
        <v>0.1</v>
      </c>
      <c r="AB135" s="77">
        <v>0</v>
      </c>
      <c r="AC135" s="77">
        <v>0</v>
      </c>
      <c r="AD135" s="77">
        <v>0</v>
      </c>
      <c r="AE135" s="77">
        <v>0</v>
      </c>
      <c r="AF135" s="77">
        <v>0</v>
      </c>
      <c r="AG135" s="79">
        <v>0</v>
      </c>
      <c r="AH135" s="82" t="s">
        <v>187</v>
      </c>
      <c r="AI135" s="82" t="s">
        <v>237</v>
      </c>
      <c r="AJ135" s="82">
        <v>10000000032</v>
      </c>
    </row>
    <row r="136" spans="2:36" ht="15.6" x14ac:dyDescent="0.3">
      <c r="B136" s="88">
        <v>33</v>
      </c>
      <c r="C136" s="76" t="s">
        <v>128</v>
      </c>
      <c r="D136" s="88" t="s">
        <v>104</v>
      </c>
      <c r="E136" s="88"/>
      <c r="F136" s="76"/>
      <c r="G136" s="76"/>
      <c r="H136" s="76"/>
      <c r="I136" s="89" t="s">
        <v>294</v>
      </c>
      <c r="J136" s="89">
        <v>2021</v>
      </c>
      <c r="K136" s="76">
        <v>26</v>
      </c>
      <c r="L136" s="76">
        <v>2</v>
      </c>
      <c r="M136" s="76">
        <v>0</v>
      </c>
      <c r="N136" s="76">
        <v>26</v>
      </c>
      <c r="O136" s="77"/>
      <c r="P136" s="77">
        <v>0</v>
      </c>
      <c r="Q136" s="77">
        <v>0</v>
      </c>
      <c r="R136" s="77">
        <v>0</v>
      </c>
      <c r="S136" s="77">
        <v>0</v>
      </c>
      <c r="T136" s="77">
        <v>0</v>
      </c>
      <c r="U136" s="77">
        <v>0</v>
      </c>
      <c r="V136" s="77">
        <v>0</v>
      </c>
      <c r="W136" s="77">
        <v>0</v>
      </c>
      <c r="X136" s="77">
        <v>0</v>
      </c>
      <c r="Y136" s="77">
        <v>0</v>
      </c>
      <c r="Z136" s="77">
        <v>0</v>
      </c>
      <c r="AA136" s="78">
        <v>0.1</v>
      </c>
      <c r="AB136" s="77">
        <v>0</v>
      </c>
      <c r="AC136" s="77">
        <v>0</v>
      </c>
      <c r="AD136" s="77">
        <v>0</v>
      </c>
      <c r="AE136" s="77">
        <v>0</v>
      </c>
      <c r="AF136" s="77">
        <v>0</v>
      </c>
      <c r="AG136" s="79">
        <v>0</v>
      </c>
      <c r="AH136" s="82" t="s">
        <v>188</v>
      </c>
      <c r="AI136" s="82" t="s">
        <v>238</v>
      </c>
      <c r="AJ136" s="82">
        <v>10000000033</v>
      </c>
    </row>
    <row r="137" spans="2:36" ht="15.6" x14ac:dyDescent="0.3">
      <c r="B137" s="88">
        <v>34</v>
      </c>
      <c r="C137" s="76" t="s">
        <v>129</v>
      </c>
      <c r="D137" s="88" t="s">
        <v>105</v>
      </c>
      <c r="E137" s="88"/>
      <c r="F137" s="76"/>
      <c r="G137" s="76"/>
      <c r="H137" s="76"/>
      <c r="I137" s="89" t="s">
        <v>294</v>
      </c>
      <c r="J137" s="89">
        <v>2021</v>
      </c>
      <c r="K137" s="76">
        <v>26</v>
      </c>
      <c r="L137" s="76">
        <v>2</v>
      </c>
      <c r="M137" s="76">
        <v>4</v>
      </c>
      <c r="N137" s="76">
        <v>24</v>
      </c>
      <c r="O137" s="77"/>
      <c r="P137" s="77">
        <v>0</v>
      </c>
      <c r="Q137" s="77">
        <v>0</v>
      </c>
      <c r="R137" s="77">
        <v>0</v>
      </c>
      <c r="S137" s="77">
        <v>0</v>
      </c>
      <c r="T137" s="77">
        <v>0</v>
      </c>
      <c r="U137" s="77">
        <v>0</v>
      </c>
      <c r="V137" s="77">
        <v>0</v>
      </c>
      <c r="W137" s="77">
        <v>0</v>
      </c>
      <c r="X137" s="77">
        <v>0</v>
      </c>
      <c r="Y137" s="77">
        <v>0</v>
      </c>
      <c r="Z137" s="77">
        <v>0</v>
      </c>
      <c r="AA137" s="78">
        <v>0.1</v>
      </c>
      <c r="AB137" s="77">
        <v>0</v>
      </c>
      <c r="AC137" s="77">
        <v>0</v>
      </c>
      <c r="AD137" s="77">
        <v>0</v>
      </c>
      <c r="AE137" s="77">
        <v>0</v>
      </c>
      <c r="AF137" s="77">
        <v>0</v>
      </c>
      <c r="AG137" s="79">
        <v>0</v>
      </c>
      <c r="AH137" s="82" t="s">
        <v>189</v>
      </c>
      <c r="AI137" s="82" t="s">
        <v>239</v>
      </c>
      <c r="AJ137" s="82">
        <v>10000000034</v>
      </c>
    </row>
    <row r="138" spans="2:36" ht="15.6" x14ac:dyDescent="0.3">
      <c r="B138" s="88">
        <v>35</v>
      </c>
      <c r="C138" s="76" t="s">
        <v>130</v>
      </c>
      <c r="D138" s="88" t="s">
        <v>106</v>
      </c>
      <c r="E138" s="88"/>
      <c r="F138" s="76"/>
      <c r="G138" s="76"/>
      <c r="H138" s="76"/>
      <c r="I138" s="89" t="s">
        <v>294</v>
      </c>
      <c r="J138" s="89">
        <v>2021</v>
      </c>
      <c r="K138" s="76">
        <v>26</v>
      </c>
      <c r="L138" s="76">
        <v>2</v>
      </c>
      <c r="M138" s="76">
        <v>0</v>
      </c>
      <c r="N138" s="76">
        <v>26</v>
      </c>
      <c r="O138" s="77"/>
      <c r="P138" s="77">
        <v>0</v>
      </c>
      <c r="Q138" s="77">
        <v>0</v>
      </c>
      <c r="R138" s="77">
        <v>0</v>
      </c>
      <c r="S138" s="77">
        <v>0</v>
      </c>
      <c r="T138" s="77">
        <v>0</v>
      </c>
      <c r="U138" s="77">
        <v>0</v>
      </c>
      <c r="V138" s="77">
        <v>0</v>
      </c>
      <c r="W138" s="77">
        <v>0</v>
      </c>
      <c r="X138" s="77">
        <v>0</v>
      </c>
      <c r="Y138" s="77">
        <v>0</v>
      </c>
      <c r="Z138" s="77">
        <v>0</v>
      </c>
      <c r="AA138" s="78">
        <v>0.1</v>
      </c>
      <c r="AB138" s="77">
        <v>0</v>
      </c>
      <c r="AC138" s="77">
        <v>0</v>
      </c>
      <c r="AD138" s="77">
        <v>0</v>
      </c>
      <c r="AE138" s="77">
        <v>0</v>
      </c>
      <c r="AF138" s="77">
        <v>0</v>
      </c>
      <c r="AG138" s="79">
        <v>0</v>
      </c>
      <c r="AH138" s="82" t="s">
        <v>190</v>
      </c>
      <c r="AI138" s="82" t="s">
        <v>240</v>
      </c>
      <c r="AJ138" s="82">
        <v>10000000035</v>
      </c>
    </row>
    <row r="139" spans="2:36" ht="15.6" x14ac:dyDescent="0.3">
      <c r="B139" s="88">
        <v>36</v>
      </c>
      <c r="C139" s="76" t="s">
        <v>131</v>
      </c>
      <c r="D139" s="88" t="s">
        <v>107</v>
      </c>
      <c r="E139" s="88"/>
      <c r="F139" s="76"/>
      <c r="G139" s="76"/>
      <c r="H139" s="76"/>
      <c r="I139" s="89" t="s">
        <v>294</v>
      </c>
      <c r="J139" s="89">
        <v>2021</v>
      </c>
      <c r="K139" s="76">
        <v>26</v>
      </c>
      <c r="L139" s="76">
        <v>2</v>
      </c>
      <c r="M139" s="76">
        <v>0</v>
      </c>
      <c r="N139" s="76">
        <v>26</v>
      </c>
      <c r="O139" s="77"/>
      <c r="P139" s="77">
        <v>0</v>
      </c>
      <c r="Q139" s="77">
        <v>0</v>
      </c>
      <c r="R139" s="77">
        <v>0</v>
      </c>
      <c r="S139" s="77">
        <v>0</v>
      </c>
      <c r="T139" s="77">
        <v>0</v>
      </c>
      <c r="U139" s="77">
        <v>0</v>
      </c>
      <c r="V139" s="77">
        <v>0</v>
      </c>
      <c r="W139" s="77">
        <v>0</v>
      </c>
      <c r="X139" s="77">
        <v>0</v>
      </c>
      <c r="Y139" s="77">
        <v>0</v>
      </c>
      <c r="Z139" s="77">
        <v>0</v>
      </c>
      <c r="AA139" s="78">
        <v>0.1</v>
      </c>
      <c r="AB139" s="77">
        <v>0</v>
      </c>
      <c r="AC139" s="77">
        <v>0</v>
      </c>
      <c r="AD139" s="77">
        <v>0</v>
      </c>
      <c r="AE139" s="77">
        <v>0</v>
      </c>
      <c r="AF139" s="77">
        <v>0</v>
      </c>
      <c r="AG139" s="79">
        <v>0</v>
      </c>
      <c r="AH139" s="82" t="s">
        <v>191</v>
      </c>
      <c r="AI139" s="82" t="s">
        <v>241</v>
      </c>
      <c r="AJ139" s="82">
        <v>10000000036</v>
      </c>
    </row>
    <row r="140" spans="2:36" ht="15.6" x14ac:dyDescent="0.3">
      <c r="B140" s="88">
        <v>37</v>
      </c>
      <c r="C140" s="76" t="s">
        <v>132</v>
      </c>
      <c r="D140" s="88" t="s">
        <v>108</v>
      </c>
      <c r="E140" s="88"/>
      <c r="F140" s="76"/>
      <c r="G140" s="76"/>
      <c r="H140" s="76"/>
      <c r="I140" s="89" t="s">
        <v>294</v>
      </c>
      <c r="J140" s="89">
        <v>2021</v>
      </c>
      <c r="K140" s="76">
        <v>26</v>
      </c>
      <c r="L140" s="76">
        <v>2</v>
      </c>
      <c r="M140" s="76">
        <v>2</v>
      </c>
      <c r="N140" s="76">
        <v>26</v>
      </c>
      <c r="O140" s="77"/>
      <c r="P140" s="77">
        <v>0</v>
      </c>
      <c r="Q140" s="77">
        <v>0</v>
      </c>
      <c r="R140" s="77">
        <v>0</v>
      </c>
      <c r="S140" s="77">
        <v>0</v>
      </c>
      <c r="T140" s="77">
        <v>0</v>
      </c>
      <c r="U140" s="77">
        <v>0</v>
      </c>
      <c r="V140" s="77">
        <v>0</v>
      </c>
      <c r="W140" s="77">
        <v>0</v>
      </c>
      <c r="X140" s="77">
        <v>0</v>
      </c>
      <c r="Y140" s="77">
        <v>0</v>
      </c>
      <c r="Z140" s="77">
        <v>0</v>
      </c>
      <c r="AA140" s="78">
        <v>0.1</v>
      </c>
      <c r="AB140" s="77">
        <v>0</v>
      </c>
      <c r="AC140" s="77">
        <v>0</v>
      </c>
      <c r="AD140" s="77">
        <v>0</v>
      </c>
      <c r="AE140" s="77">
        <v>0</v>
      </c>
      <c r="AF140" s="77">
        <v>0</v>
      </c>
      <c r="AG140" s="79">
        <v>0</v>
      </c>
      <c r="AH140" s="82" t="s">
        <v>192</v>
      </c>
      <c r="AI140" s="82" t="s">
        <v>242</v>
      </c>
      <c r="AJ140" s="82">
        <v>10000000037</v>
      </c>
    </row>
    <row r="141" spans="2:36" ht="15.6" x14ac:dyDescent="0.3">
      <c r="B141" s="88">
        <v>38</v>
      </c>
      <c r="C141" s="76" t="s">
        <v>133</v>
      </c>
      <c r="D141" s="88" t="s">
        <v>109</v>
      </c>
      <c r="E141" s="88"/>
      <c r="F141" s="76"/>
      <c r="G141" s="76"/>
      <c r="H141" s="76"/>
      <c r="I141" s="89" t="s">
        <v>294</v>
      </c>
      <c r="J141" s="89">
        <v>2021</v>
      </c>
      <c r="K141" s="76">
        <v>26</v>
      </c>
      <c r="L141" s="76">
        <v>2</v>
      </c>
      <c r="M141" s="76">
        <v>0</v>
      </c>
      <c r="N141" s="76">
        <v>26</v>
      </c>
      <c r="O141" s="77"/>
      <c r="P141" s="77">
        <v>0</v>
      </c>
      <c r="Q141" s="77">
        <v>0</v>
      </c>
      <c r="R141" s="77">
        <v>0</v>
      </c>
      <c r="S141" s="77">
        <v>0</v>
      </c>
      <c r="T141" s="77">
        <v>0</v>
      </c>
      <c r="U141" s="77">
        <v>0</v>
      </c>
      <c r="V141" s="77">
        <v>0</v>
      </c>
      <c r="W141" s="77">
        <v>0</v>
      </c>
      <c r="X141" s="77">
        <v>0</v>
      </c>
      <c r="Y141" s="77">
        <v>0</v>
      </c>
      <c r="Z141" s="77">
        <v>0</v>
      </c>
      <c r="AA141" s="78">
        <v>0.1</v>
      </c>
      <c r="AB141" s="77">
        <v>0</v>
      </c>
      <c r="AC141" s="77">
        <v>0</v>
      </c>
      <c r="AD141" s="77">
        <v>0</v>
      </c>
      <c r="AE141" s="77">
        <v>0</v>
      </c>
      <c r="AF141" s="77">
        <v>0</v>
      </c>
      <c r="AG141" s="79">
        <v>0</v>
      </c>
      <c r="AH141" s="82" t="s">
        <v>193</v>
      </c>
      <c r="AI141" s="82" t="s">
        <v>243</v>
      </c>
      <c r="AJ141" s="82">
        <v>10000000038</v>
      </c>
    </row>
    <row r="142" spans="2:36" ht="15.6" x14ac:dyDescent="0.3">
      <c r="B142" s="88">
        <v>39</v>
      </c>
      <c r="C142" s="76" t="s">
        <v>134</v>
      </c>
      <c r="D142" s="88" t="s">
        <v>110</v>
      </c>
      <c r="E142" s="88"/>
      <c r="F142" s="76"/>
      <c r="G142" s="76"/>
      <c r="H142" s="76"/>
      <c r="I142" s="89" t="s">
        <v>294</v>
      </c>
      <c r="J142" s="89">
        <v>2021</v>
      </c>
      <c r="K142" s="76">
        <v>26</v>
      </c>
      <c r="L142" s="76">
        <v>2</v>
      </c>
      <c r="M142" s="76">
        <v>0</v>
      </c>
      <c r="N142" s="76">
        <v>26</v>
      </c>
      <c r="O142" s="77"/>
      <c r="P142" s="77">
        <v>0</v>
      </c>
      <c r="Q142" s="77">
        <v>0</v>
      </c>
      <c r="R142" s="77">
        <v>0</v>
      </c>
      <c r="S142" s="77">
        <v>0</v>
      </c>
      <c r="T142" s="77">
        <v>0</v>
      </c>
      <c r="U142" s="77">
        <v>0</v>
      </c>
      <c r="V142" s="77">
        <v>0</v>
      </c>
      <c r="W142" s="77">
        <v>0</v>
      </c>
      <c r="X142" s="77">
        <v>0</v>
      </c>
      <c r="Y142" s="77">
        <v>0</v>
      </c>
      <c r="Z142" s="77">
        <v>0</v>
      </c>
      <c r="AA142" s="78">
        <v>0.1</v>
      </c>
      <c r="AB142" s="77">
        <v>0</v>
      </c>
      <c r="AC142" s="77">
        <v>0</v>
      </c>
      <c r="AD142" s="77">
        <v>0</v>
      </c>
      <c r="AE142" s="77">
        <v>0</v>
      </c>
      <c r="AF142" s="77">
        <v>0</v>
      </c>
      <c r="AG142" s="79">
        <v>0</v>
      </c>
      <c r="AH142" s="82" t="s">
        <v>194</v>
      </c>
      <c r="AI142" s="82" t="s">
        <v>244</v>
      </c>
      <c r="AJ142" s="82">
        <v>10000000039</v>
      </c>
    </row>
    <row r="143" spans="2:36" ht="15.6" x14ac:dyDescent="0.3">
      <c r="B143" s="88">
        <v>40</v>
      </c>
      <c r="C143" s="76" t="s">
        <v>135</v>
      </c>
      <c r="D143" s="88" t="s">
        <v>111</v>
      </c>
      <c r="E143" s="88"/>
      <c r="F143" s="76"/>
      <c r="G143" s="76"/>
      <c r="H143" s="76"/>
      <c r="I143" s="89" t="s">
        <v>294</v>
      </c>
      <c r="J143" s="89">
        <v>2021</v>
      </c>
      <c r="K143" s="76">
        <v>26</v>
      </c>
      <c r="L143" s="76">
        <v>2</v>
      </c>
      <c r="M143" s="76">
        <v>0</v>
      </c>
      <c r="N143" s="76">
        <v>26</v>
      </c>
      <c r="O143" s="77"/>
      <c r="P143" s="77">
        <v>0</v>
      </c>
      <c r="Q143" s="77">
        <v>0</v>
      </c>
      <c r="R143" s="77">
        <v>0</v>
      </c>
      <c r="S143" s="77">
        <v>0</v>
      </c>
      <c r="T143" s="77">
        <v>0</v>
      </c>
      <c r="U143" s="77">
        <v>0</v>
      </c>
      <c r="V143" s="77">
        <v>0</v>
      </c>
      <c r="W143" s="77">
        <v>0</v>
      </c>
      <c r="X143" s="77">
        <v>0</v>
      </c>
      <c r="Y143" s="77">
        <v>0</v>
      </c>
      <c r="Z143" s="77">
        <v>0</v>
      </c>
      <c r="AA143" s="78">
        <v>0.1</v>
      </c>
      <c r="AB143" s="77">
        <v>0</v>
      </c>
      <c r="AC143" s="77">
        <v>0</v>
      </c>
      <c r="AD143" s="77">
        <v>0</v>
      </c>
      <c r="AE143" s="77">
        <v>0</v>
      </c>
      <c r="AF143" s="77">
        <v>0</v>
      </c>
      <c r="AG143" s="79">
        <v>0</v>
      </c>
      <c r="AH143" s="82" t="s">
        <v>195</v>
      </c>
      <c r="AI143" s="82" t="s">
        <v>245</v>
      </c>
      <c r="AJ143" s="82">
        <v>10000000040</v>
      </c>
    </row>
    <row r="144" spans="2:36" ht="15.6" x14ac:dyDescent="0.3">
      <c r="B144" s="88">
        <v>41</v>
      </c>
      <c r="C144" s="76" t="s">
        <v>136</v>
      </c>
      <c r="D144" s="88" t="s">
        <v>112</v>
      </c>
      <c r="E144" s="88"/>
      <c r="F144" s="76"/>
      <c r="G144" s="76"/>
      <c r="H144" s="76"/>
      <c r="I144" s="89" t="s">
        <v>294</v>
      </c>
      <c r="J144" s="89">
        <v>2021</v>
      </c>
      <c r="K144" s="76">
        <v>26</v>
      </c>
      <c r="L144" s="76">
        <v>2</v>
      </c>
      <c r="M144" s="76">
        <v>0</v>
      </c>
      <c r="N144" s="76">
        <v>26</v>
      </c>
      <c r="O144" s="77"/>
      <c r="P144" s="77">
        <v>0</v>
      </c>
      <c r="Q144" s="77">
        <v>0</v>
      </c>
      <c r="R144" s="77">
        <v>0</v>
      </c>
      <c r="S144" s="77">
        <v>0</v>
      </c>
      <c r="T144" s="77">
        <v>0</v>
      </c>
      <c r="U144" s="77">
        <v>0</v>
      </c>
      <c r="V144" s="77">
        <v>0</v>
      </c>
      <c r="W144" s="77">
        <v>0</v>
      </c>
      <c r="X144" s="77">
        <v>0</v>
      </c>
      <c r="Y144" s="77">
        <v>0</v>
      </c>
      <c r="Z144" s="77">
        <v>0</v>
      </c>
      <c r="AA144" s="78">
        <v>0.1</v>
      </c>
      <c r="AB144" s="77">
        <v>0</v>
      </c>
      <c r="AC144" s="77">
        <v>0</v>
      </c>
      <c r="AD144" s="77">
        <v>0</v>
      </c>
      <c r="AE144" s="77">
        <v>0</v>
      </c>
      <c r="AF144" s="77">
        <v>0</v>
      </c>
      <c r="AG144" s="79">
        <v>0</v>
      </c>
      <c r="AH144" s="82" t="s">
        <v>196</v>
      </c>
      <c r="AI144" s="82" t="s">
        <v>246</v>
      </c>
      <c r="AJ144" s="82">
        <v>10000000041</v>
      </c>
    </row>
    <row r="145" spans="2:36" ht="15.6" x14ac:dyDescent="0.3">
      <c r="B145" s="88">
        <v>42</v>
      </c>
      <c r="C145" s="76" t="s">
        <v>137</v>
      </c>
      <c r="D145" s="88" t="s">
        <v>113</v>
      </c>
      <c r="E145" s="88"/>
      <c r="F145" s="76"/>
      <c r="G145" s="76"/>
      <c r="H145" s="76"/>
      <c r="I145" s="89" t="s">
        <v>294</v>
      </c>
      <c r="J145" s="89">
        <v>2021</v>
      </c>
      <c r="K145" s="76">
        <v>26</v>
      </c>
      <c r="L145" s="76">
        <v>2</v>
      </c>
      <c r="M145" s="76">
        <v>0</v>
      </c>
      <c r="N145" s="76">
        <v>26</v>
      </c>
      <c r="O145" s="77"/>
      <c r="P145" s="77">
        <v>0</v>
      </c>
      <c r="Q145" s="77">
        <v>0</v>
      </c>
      <c r="R145" s="77">
        <v>0</v>
      </c>
      <c r="S145" s="77">
        <v>0</v>
      </c>
      <c r="T145" s="77">
        <v>0</v>
      </c>
      <c r="U145" s="77">
        <v>0</v>
      </c>
      <c r="V145" s="77">
        <v>0</v>
      </c>
      <c r="W145" s="77">
        <v>0</v>
      </c>
      <c r="X145" s="77">
        <v>0</v>
      </c>
      <c r="Y145" s="77">
        <v>0</v>
      </c>
      <c r="Z145" s="77">
        <v>0</v>
      </c>
      <c r="AA145" s="78">
        <v>0.1</v>
      </c>
      <c r="AB145" s="77">
        <v>0</v>
      </c>
      <c r="AC145" s="77">
        <v>0</v>
      </c>
      <c r="AD145" s="77">
        <v>0</v>
      </c>
      <c r="AE145" s="77">
        <v>0</v>
      </c>
      <c r="AF145" s="77">
        <v>0</v>
      </c>
      <c r="AG145" s="79">
        <v>0</v>
      </c>
      <c r="AH145" s="82" t="s">
        <v>197</v>
      </c>
      <c r="AI145" s="82" t="s">
        <v>247</v>
      </c>
      <c r="AJ145" s="82">
        <v>10000000042</v>
      </c>
    </row>
    <row r="146" spans="2:36" ht="15.6" x14ac:dyDescent="0.3">
      <c r="B146" s="88">
        <v>43</v>
      </c>
      <c r="C146" s="76" t="s">
        <v>138</v>
      </c>
      <c r="D146" s="88" t="s">
        <v>114</v>
      </c>
      <c r="E146" s="88"/>
      <c r="F146" s="76"/>
      <c r="G146" s="76"/>
      <c r="H146" s="76"/>
      <c r="I146" s="89" t="s">
        <v>294</v>
      </c>
      <c r="J146" s="89">
        <v>2021</v>
      </c>
      <c r="K146" s="76">
        <v>26</v>
      </c>
      <c r="L146" s="76">
        <v>2</v>
      </c>
      <c r="M146" s="76">
        <v>0</v>
      </c>
      <c r="N146" s="76">
        <v>26</v>
      </c>
      <c r="O146" s="77"/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8">
        <v>0.1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79">
        <v>0</v>
      </c>
      <c r="AH146" s="82" t="s">
        <v>198</v>
      </c>
      <c r="AI146" s="82" t="s">
        <v>248</v>
      </c>
      <c r="AJ146" s="82">
        <v>10000000043</v>
      </c>
    </row>
    <row r="147" spans="2:36" ht="15.6" x14ac:dyDescent="0.3">
      <c r="B147" s="88">
        <v>44</v>
      </c>
      <c r="C147" s="76" t="s">
        <v>139</v>
      </c>
      <c r="D147" s="88" t="s">
        <v>115</v>
      </c>
      <c r="E147" s="88"/>
      <c r="F147" s="76"/>
      <c r="G147" s="76"/>
      <c r="H147" s="76"/>
      <c r="I147" s="89" t="s">
        <v>294</v>
      </c>
      <c r="J147" s="89">
        <v>2021</v>
      </c>
      <c r="K147" s="76">
        <v>26</v>
      </c>
      <c r="L147" s="76">
        <v>2</v>
      </c>
      <c r="M147" s="76">
        <v>4</v>
      </c>
      <c r="N147" s="76">
        <v>24</v>
      </c>
      <c r="O147" s="77"/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8">
        <v>0.1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79">
        <v>0</v>
      </c>
      <c r="AH147" s="82" t="s">
        <v>199</v>
      </c>
      <c r="AI147" s="82" t="s">
        <v>249</v>
      </c>
      <c r="AJ147" s="82">
        <v>10000000044</v>
      </c>
    </row>
    <row r="148" spans="2:36" ht="15.6" x14ac:dyDescent="0.3">
      <c r="B148" s="88">
        <v>45</v>
      </c>
      <c r="C148" s="76" t="s">
        <v>140</v>
      </c>
      <c r="D148" s="88" t="s">
        <v>119</v>
      </c>
      <c r="E148" s="88"/>
      <c r="F148" s="76"/>
      <c r="G148" s="76"/>
      <c r="H148" s="76"/>
      <c r="I148" s="89" t="s">
        <v>294</v>
      </c>
      <c r="J148" s="89">
        <v>2021</v>
      </c>
      <c r="K148" s="76">
        <v>26</v>
      </c>
      <c r="L148" s="76">
        <v>2</v>
      </c>
      <c r="M148" s="76">
        <v>0</v>
      </c>
      <c r="N148" s="76">
        <v>26</v>
      </c>
      <c r="O148" s="77"/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8">
        <v>0.1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79">
        <v>0</v>
      </c>
      <c r="AH148" s="82" t="s">
        <v>200</v>
      </c>
      <c r="AI148" s="82" t="s">
        <v>250</v>
      </c>
      <c r="AJ148" s="82">
        <v>10000000045</v>
      </c>
    </row>
    <row r="149" spans="2:36" ht="15.6" x14ac:dyDescent="0.3">
      <c r="B149" s="88">
        <v>46</v>
      </c>
      <c r="C149" s="76" t="s">
        <v>141</v>
      </c>
      <c r="D149" s="88" t="s">
        <v>116</v>
      </c>
      <c r="E149" s="88"/>
      <c r="F149" s="76"/>
      <c r="G149" s="76"/>
      <c r="H149" s="76"/>
      <c r="I149" s="89" t="s">
        <v>294</v>
      </c>
      <c r="J149" s="89">
        <v>2021</v>
      </c>
      <c r="K149" s="76">
        <v>26</v>
      </c>
      <c r="L149" s="76">
        <v>2</v>
      </c>
      <c r="M149" s="76">
        <v>0</v>
      </c>
      <c r="N149" s="76">
        <v>26</v>
      </c>
      <c r="O149" s="77"/>
      <c r="P149" s="77">
        <v>0</v>
      </c>
      <c r="Q149" s="77">
        <v>0</v>
      </c>
      <c r="R149" s="77">
        <v>0</v>
      </c>
      <c r="S149" s="77">
        <v>0</v>
      </c>
      <c r="T149" s="77">
        <v>0</v>
      </c>
      <c r="U149" s="77">
        <v>0</v>
      </c>
      <c r="V149" s="77">
        <v>0</v>
      </c>
      <c r="W149" s="77">
        <v>0</v>
      </c>
      <c r="X149" s="77">
        <v>0</v>
      </c>
      <c r="Y149" s="77">
        <v>0</v>
      </c>
      <c r="Z149" s="77">
        <v>0</v>
      </c>
      <c r="AA149" s="78">
        <v>0.1</v>
      </c>
      <c r="AB149" s="77">
        <v>0</v>
      </c>
      <c r="AC149" s="77">
        <v>0</v>
      </c>
      <c r="AD149" s="77">
        <v>0</v>
      </c>
      <c r="AE149" s="77">
        <v>0</v>
      </c>
      <c r="AF149" s="77">
        <v>0</v>
      </c>
      <c r="AG149" s="79">
        <v>0</v>
      </c>
      <c r="AH149" s="82" t="s">
        <v>201</v>
      </c>
      <c r="AI149" s="82" t="s">
        <v>251</v>
      </c>
      <c r="AJ149" s="82">
        <v>10000000046</v>
      </c>
    </row>
    <row r="150" spans="2:36" ht="15.6" x14ac:dyDescent="0.3">
      <c r="B150" s="88">
        <v>47</v>
      </c>
      <c r="C150" s="76" t="s">
        <v>142</v>
      </c>
      <c r="D150" s="88" t="s">
        <v>117</v>
      </c>
      <c r="E150" s="88"/>
      <c r="F150" s="76"/>
      <c r="G150" s="76"/>
      <c r="H150" s="76"/>
      <c r="I150" s="89" t="s">
        <v>294</v>
      </c>
      <c r="J150" s="89">
        <v>2021</v>
      </c>
      <c r="K150" s="76">
        <v>26</v>
      </c>
      <c r="L150" s="76">
        <v>2</v>
      </c>
      <c r="M150" s="76">
        <v>2</v>
      </c>
      <c r="N150" s="76">
        <v>26</v>
      </c>
      <c r="O150" s="77"/>
      <c r="P150" s="77">
        <v>0</v>
      </c>
      <c r="Q150" s="77">
        <v>0</v>
      </c>
      <c r="R150" s="77">
        <v>0</v>
      </c>
      <c r="S150" s="77">
        <v>0</v>
      </c>
      <c r="T150" s="77">
        <v>0</v>
      </c>
      <c r="U150" s="77">
        <v>0</v>
      </c>
      <c r="V150" s="77">
        <v>0</v>
      </c>
      <c r="W150" s="77">
        <v>0</v>
      </c>
      <c r="X150" s="77">
        <v>0</v>
      </c>
      <c r="Y150" s="77">
        <v>0</v>
      </c>
      <c r="Z150" s="77">
        <v>0</v>
      </c>
      <c r="AA150" s="78">
        <v>0.1</v>
      </c>
      <c r="AB150" s="77">
        <v>0</v>
      </c>
      <c r="AC150" s="77">
        <v>0</v>
      </c>
      <c r="AD150" s="77">
        <v>0</v>
      </c>
      <c r="AE150" s="77">
        <v>0</v>
      </c>
      <c r="AF150" s="77">
        <v>0</v>
      </c>
      <c r="AG150" s="79">
        <v>0</v>
      </c>
      <c r="AH150" s="82" t="s">
        <v>202</v>
      </c>
      <c r="AI150" s="82" t="s">
        <v>252</v>
      </c>
      <c r="AJ150" s="82">
        <v>10000000047</v>
      </c>
    </row>
    <row r="151" spans="2:36" ht="15.6" x14ac:dyDescent="0.3">
      <c r="B151" s="88">
        <v>48</v>
      </c>
      <c r="C151" s="76" t="s">
        <v>143</v>
      </c>
      <c r="D151" s="88" t="s">
        <v>118</v>
      </c>
      <c r="E151" s="88"/>
      <c r="F151" s="76"/>
      <c r="G151" s="76"/>
      <c r="H151" s="76"/>
      <c r="I151" s="89" t="s">
        <v>294</v>
      </c>
      <c r="J151" s="89">
        <v>2021</v>
      </c>
      <c r="K151" s="76">
        <v>26</v>
      </c>
      <c r="L151" s="76">
        <v>2</v>
      </c>
      <c r="M151" s="76">
        <v>0</v>
      </c>
      <c r="N151" s="76">
        <v>26</v>
      </c>
      <c r="O151" s="77"/>
      <c r="P151" s="77">
        <v>0</v>
      </c>
      <c r="Q151" s="77">
        <v>0</v>
      </c>
      <c r="R151" s="77">
        <v>0</v>
      </c>
      <c r="S151" s="77">
        <v>0</v>
      </c>
      <c r="T151" s="77">
        <v>0</v>
      </c>
      <c r="U151" s="77">
        <v>0</v>
      </c>
      <c r="V151" s="77">
        <v>0</v>
      </c>
      <c r="W151" s="77">
        <v>0</v>
      </c>
      <c r="X151" s="77">
        <v>0</v>
      </c>
      <c r="Y151" s="77">
        <v>0</v>
      </c>
      <c r="Z151" s="77">
        <v>0</v>
      </c>
      <c r="AA151" s="78">
        <v>0.1</v>
      </c>
      <c r="AB151" s="77">
        <v>0</v>
      </c>
      <c r="AC151" s="77">
        <v>0</v>
      </c>
      <c r="AD151" s="77">
        <v>0</v>
      </c>
      <c r="AE151" s="77">
        <v>0</v>
      </c>
      <c r="AF151" s="77">
        <v>0</v>
      </c>
      <c r="AG151" s="79">
        <v>0</v>
      </c>
      <c r="AH151" s="82" t="s">
        <v>203</v>
      </c>
      <c r="AI151" s="82" t="s">
        <v>253</v>
      </c>
      <c r="AJ151" s="82">
        <v>10000000048</v>
      </c>
    </row>
    <row r="152" spans="2:36" ht="15.6" x14ac:dyDescent="0.3">
      <c r="B152" s="88">
        <v>49</v>
      </c>
      <c r="C152" s="76" t="s">
        <v>144</v>
      </c>
      <c r="D152" s="88" t="s">
        <v>120</v>
      </c>
      <c r="E152" s="88"/>
      <c r="F152" s="76"/>
      <c r="G152" s="76"/>
      <c r="H152" s="76"/>
      <c r="I152" s="89" t="s">
        <v>294</v>
      </c>
      <c r="J152" s="89">
        <v>2021</v>
      </c>
      <c r="K152" s="76">
        <v>26</v>
      </c>
      <c r="L152" s="76">
        <v>2</v>
      </c>
      <c r="M152" s="76">
        <v>0</v>
      </c>
      <c r="N152" s="76">
        <v>26</v>
      </c>
      <c r="O152" s="77"/>
      <c r="P152" s="77">
        <v>0</v>
      </c>
      <c r="Q152" s="77">
        <v>0</v>
      </c>
      <c r="R152" s="77">
        <v>0</v>
      </c>
      <c r="S152" s="77">
        <v>0</v>
      </c>
      <c r="T152" s="77">
        <v>0</v>
      </c>
      <c r="U152" s="77">
        <v>0</v>
      </c>
      <c r="V152" s="77">
        <v>0</v>
      </c>
      <c r="W152" s="77">
        <v>0</v>
      </c>
      <c r="X152" s="77">
        <v>0</v>
      </c>
      <c r="Y152" s="77">
        <v>0</v>
      </c>
      <c r="Z152" s="77">
        <v>0</v>
      </c>
      <c r="AA152" s="78">
        <v>0.1</v>
      </c>
      <c r="AB152" s="77">
        <v>0</v>
      </c>
      <c r="AC152" s="77">
        <v>0</v>
      </c>
      <c r="AD152" s="77">
        <v>0</v>
      </c>
      <c r="AE152" s="77">
        <v>0</v>
      </c>
      <c r="AF152" s="77">
        <v>0</v>
      </c>
      <c r="AG152" s="79">
        <v>0</v>
      </c>
      <c r="AH152" s="82" t="s">
        <v>204</v>
      </c>
      <c r="AI152" s="82" t="s">
        <v>254</v>
      </c>
      <c r="AJ152" s="82">
        <v>10000000049</v>
      </c>
    </row>
    <row r="153" spans="2:36" ht="15.6" x14ac:dyDescent="0.3">
      <c r="B153" s="88">
        <v>50</v>
      </c>
      <c r="C153" s="76" t="s">
        <v>145</v>
      </c>
      <c r="D153" s="88" t="s">
        <v>121</v>
      </c>
      <c r="E153" s="88"/>
      <c r="F153" s="76"/>
      <c r="G153" s="76"/>
      <c r="H153" s="76"/>
      <c r="I153" s="89" t="s">
        <v>294</v>
      </c>
      <c r="J153" s="89">
        <v>2021</v>
      </c>
      <c r="K153" s="76">
        <v>26</v>
      </c>
      <c r="L153" s="76">
        <v>2</v>
      </c>
      <c r="M153" s="76">
        <v>0</v>
      </c>
      <c r="N153" s="76">
        <v>26</v>
      </c>
      <c r="O153" s="77"/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8">
        <v>0.1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79">
        <v>0</v>
      </c>
      <c r="AH153" s="82" t="s">
        <v>205</v>
      </c>
      <c r="AI153" s="82" t="s">
        <v>255</v>
      </c>
      <c r="AJ153" s="82">
        <v>10000000050</v>
      </c>
    </row>
    <row r="154" spans="2:36" ht="15.6" x14ac:dyDescent="0.3">
      <c r="B154" s="88">
        <v>1</v>
      </c>
      <c r="C154" s="76" t="s">
        <v>31</v>
      </c>
      <c r="D154" s="88" t="s">
        <v>10</v>
      </c>
      <c r="E154" s="88" t="s">
        <v>57</v>
      </c>
      <c r="F154" s="76" t="s">
        <v>264</v>
      </c>
      <c r="G154" s="76" t="s">
        <v>78</v>
      </c>
      <c r="H154" s="76" t="s">
        <v>269</v>
      </c>
      <c r="I154" s="89" t="s">
        <v>296</v>
      </c>
      <c r="J154" s="89">
        <v>2021</v>
      </c>
      <c r="K154" s="76">
        <v>26</v>
      </c>
      <c r="L154" s="76">
        <v>2</v>
      </c>
      <c r="M154" s="76">
        <v>5</v>
      </c>
      <c r="N154" s="76">
        <v>23</v>
      </c>
      <c r="O154" s="77">
        <v>25000</v>
      </c>
      <c r="P154" s="77">
        <v>13269.23076923077</v>
      </c>
      <c r="Q154" s="77">
        <v>5869.0828402366869</v>
      </c>
      <c r="R154" s="77">
        <v>1200</v>
      </c>
      <c r="S154" s="77">
        <v>1061.5384615384614</v>
      </c>
      <c r="T154" s="77">
        <v>1250</v>
      </c>
      <c r="U154" s="77">
        <v>1105.7692307692309</v>
      </c>
      <c r="V154" s="77">
        <v>3411.6863905325445</v>
      </c>
      <c r="W154" s="77">
        <v>3018.0302685480201</v>
      </c>
      <c r="X154" s="77">
        <v>11054.420801092399</v>
      </c>
      <c r="Y154" s="77">
        <v>24323.651570323171</v>
      </c>
      <c r="Z154" s="77">
        <v>200</v>
      </c>
      <c r="AA154" s="78">
        <v>0.1</v>
      </c>
      <c r="AB154" s="77">
        <v>0</v>
      </c>
      <c r="AC154" s="77">
        <v>2918.8381884387804</v>
      </c>
      <c r="AD154" s="77">
        <v>5000</v>
      </c>
      <c r="AE154" s="77">
        <v>8118.83818843878</v>
      </c>
      <c r="AF154" s="77">
        <v>500</v>
      </c>
      <c r="AG154" s="79">
        <v>16704.813381884393</v>
      </c>
      <c r="AH154" s="82" t="s">
        <v>156</v>
      </c>
      <c r="AI154" s="82" t="s">
        <v>206</v>
      </c>
      <c r="AJ154" s="82">
        <v>10000000001</v>
      </c>
    </row>
    <row r="155" spans="2:36" ht="15.6" x14ac:dyDescent="0.3">
      <c r="B155" s="88">
        <v>2</v>
      </c>
      <c r="C155" s="76" t="s">
        <v>32</v>
      </c>
      <c r="D155" s="88" t="s">
        <v>11</v>
      </c>
      <c r="E155" s="88" t="s">
        <v>58</v>
      </c>
      <c r="F155" s="76" t="s">
        <v>265</v>
      </c>
      <c r="G155" s="76" t="s">
        <v>78</v>
      </c>
      <c r="H155" s="76" t="s">
        <v>269</v>
      </c>
      <c r="I155" s="89" t="s">
        <v>296</v>
      </c>
      <c r="J155" s="89">
        <v>2021</v>
      </c>
      <c r="K155" s="76">
        <v>26</v>
      </c>
      <c r="L155" s="76">
        <v>2</v>
      </c>
      <c r="M155" s="76">
        <v>1</v>
      </c>
      <c r="N155" s="76">
        <v>26</v>
      </c>
      <c r="O155" s="77">
        <v>15000</v>
      </c>
      <c r="P155" s="77">
        <v>9000</v>
      </c>
      <c r="Q155" s="77">
        <v>4500</v>
      </c>
      <c r="R155" s="77">
        <v>1200</v>
      </c>
      <c r="S155" s="77">
        <v>1200</v>
      </c>
      <c r="T155" s="77">
        <v>1000</v>
      </c>
      <c r="U155" s="77">
        <v>1000</v>
      </c>
      <c r="V155" s="77">
        <v>-700</v>
      </c>
      <c r="W155" s="77">
        <v>-700</v>
      </c>
      <c r="X155" s="77">
        <v>6000</v>
      </c>
      <c r="Y155" s="77">
        <v>15000</v>
      </c>
      <c r="Z155" s="77">
        <v>0</v>
      </c>
      <c r="AA155" s="78">
        <v>0.1</v>
      </c>
      <c r="AB155" s="77">
        <v>0</v>
      </c>
      <c r="AC155" s="77">
        <v>1800</v>
      </c>
      <c r="AD155" s="77">
        <v>0</v>
      </c>
      <c r="AE155" s="77">
        <v>1800</v>
      </c>
      <c r="AF155" s="77">
        <v>500</v>
      </c>
      <c r="AG155" s="79">
        <v>13700</v>
      </c>
      <c r="AH155" s="82" t="s">
        <v>157</v>
      </c>
      <c r="AI155" s="82" t="s">
        <v>207</v>
      </c>
      <c r="AJ155" s="82">
        <v>10000000002</v>
      </c>
    </row>
    <row r="156" spans="2:36" ht="15.6" x14ac:dyDescent="0.3">
      <c r="B156" s="88">
        <v>3</v>
      </c>
      <c r="C156" s="76" t="s">
        <v>33</v>
      </c>
      <c r="D156" s="88" t="s">
        <v>12</v>
      </c>
      <c r="E156" s="88" t="s">
        <v>59</v>
      </c>
      <c r="F156" s="76" t="s">
        <v>266</v>
      </c>
      <c r="G156" s="76" t="s">
        <v>78</v>
      </c>
      <c r="H156" s="76" t="s">
        <v>276</v>
      </c>
      <c r="I156" s="89" t="s">
        <v>296</v>
      </c>
      <c r="J156" s="89">
        <v>2021</v>
      </c>
      <c r="K156" s="76">
        <v>26</v>
      </c>
      <c r="L156" s="76">
        <v>2</v>
      </c>
      <c r="M156" s="76">
        <v>4</v>
      </c>
      <c r="N156" s="76">
        <v>24</v>
      </c>
      <c r="O156" s="77">
        <v>18000</v>
      </c>
      <c r="P156" s="77">
        <v>9969.2307692307677</v>
      </c>
      <c r="Q156" s="77">
        <v>4601.1834319526615</v>
      </c>
      <c r="R156" s="77">
        <v>1600</v>
      </c>
      <c r="S156" s="77">
        <v>1476.9230769230769</v>
      </c>
      <c r="T156" s="77">
        <v>1000</v>
      </c>
      <c r="U156" s="77">
        <v>923.07692307692309</v>
      </c>
      <c r="V156" s="77">
        <v>829.58579881656988</v>
      </c>
      <c r="W156" s="77">
        <v>765.77150659991059</v>
      </c>
      <c r="X156" s="77">
        <v>7766.9549385525725</v>
      </c>
      <c r="Y156" s="77">
        <v>17736.185707783341</v>
      </c>
      <c r="Z156" s="77">
        <v>150</v>
      </c>
      <c r="AA156" s="78">
        <v>0.1</v>
      </c>
      <c r="AB156" s="77">
        <v>0</v>
      </c>
      <c r="AC156" s="77">
        <v>2128.3422849340009</v>
      </c>
      <c r="AD156" s="77">
        <v>0</v>
      </c>
      <c r="AE156" s="77">
        <v>2278.3422849340009</v>
      </c>
      <c r="AF156" s="77">
        <v>500</v>
      </c>
      <c r="AG156" s="79">
        <v>15957.843422849341</v>
      </c>
      <c r="AH156" s="82" t="s">
        <v>158</v>
      </c>
      <c r="AI156" s="82" t="s">
        <v>208</v>
      </c>
      <c r="AJ156" s="82">
        <v>10000000003</v>
      </c>
    </row>
    <row r="157" spans="2:36" ht="15.6" x14ac:dyDescent="0.3">
      <c r="B157" s="88">
        <v>4</v>
      </c>
      <c r="C157" s="76" t="s">
        <v>34</v>
      </c>
      <c r="D157" s="88" t="s">
        <v>13</v>
      </c>
      <c r="E157" s="88" t="s">
        <v>58</v>
      </c>
      <c r="F157" s="76" t="s">
        <v>267</v>
      </c>
      <c r="G157" s="76" t="s">
        <v>78</v>
      </c>
      <c r="H157" s="76" t="s">
        <v>269</v>
      </c>
      <c r="I157" s="89" t="s">
        <v>296</v>
      </c>
      <c r="J157" s="89">
        <v>2021</v>
      </c>
      <c r="K157" s="76">
        <v>26</v>
      </c>
      <c r="L157" s="76">
        <v>2</v>
      </c>
      <c r="M157" s="76">
        <v>3</v>
      </c>
      <c r="N157" s="76">
        <v>26</v>
      </c>
      <c r="O157" s="77">
        <v>14500</v>
      </c>
      <c r="P157" s="77">
        <v>8700</v>
      </c>
      <c r="Q157" s="77">
        <v>4350</v>
      </c>
      <c r="R157" s="77">
        <v>1200</v>
      </c>
      <c r="S157" s="77">
        <v>1200</v>
      </c>
      <c r="T157" s="77">
        <v>800</v>
      </c>
      <c r="U157" s="77">
        <v>800</v>
      </c>
      <c r="V157" s="77">
        <v>-550</v>
      </c>
      <c r="W157" s="77">
        <v>-550</v>
      </c>
      <c r="X157" s="77">
        <v>5800</v>
      </c>
      <c r="Y157" s="77">
        <v>14500</v>
      </c>
      <c r="Z157" s="77">
        <v>0</v>
      </c>
      <c r="AA157" s="78">
        <v>0.1</v>
      </c>
      <c r="AB157" s="77">
        <v>0</v>
      </c>
      <c r="AC157" s="77">
        <v>1800</v>
      </c>
      <c r="AD157" s="77">
        <v>0</v>
      </c>
      <c r="AE157" s="77">
        <v>1800</v>
      </c>
      <c r="AF157" s="77">
        <v>500</v>
      </c>
      <c r="AG157" s="79">
        <v>13200</v>
      </c>
      <c r="AH157" s="82" t="s">
        <v>159</v>
      </c>
      <c r="AI157" s="82" t="s">
        <v>209</v>
      </c>
      <c r="AJ157" s="82">
        <v>10000000004</v>
      </c>
    </row>
    <row r="158" spans="2:36" ht="15.6" x14ac:dyDescent="0.3">
      <c r="B158" s="88">
        <v>5</v>
      </c>
      <c r="C158" s="76" t="s">
        <v>35</v>
      </c>
      <c r="D158" s="88" t="s">
        <v>14</v>
      </c>
      <c r="E158" s="88" t="s">
        <v>51</v>
      </c>
      <c r="F158" s="76" t="s">
        <v>268</v>
      </c>
      <c r="G158" s="76" t="s">
        <v>78</v>
      </c>
      <c r="H158" s="76" t="s">
        <v>269</v>
      </c>
      <c r="I158" s="89" t="s">
        <v>296</v>
      </c>
      <c r="J158" s="89">
        <v>2021</v>
      </c>
      <c r="K158" s="76">
        <v>26</v>
      </c>
      <c r="L158" s="76">
        <v>2</v>
      </c>
      <c r="M158" s="76">
        <v>2</v>
      </c>
      <c r="N158" s="76">
        <v>26</v>
      </c>
      <c r="O158" s="77">
        <v>15200</v>
      </c>
      <c r="P158" s="77">
        <v>9120</v>
      </c>
      <c r="Q158" s="77">
        <v>4560</v>
      </c>
      <c r="R158" s="77">
        <v>1000</v>
      </c>
      <c r="S158" s="77">
        <v>1000</v>
      </c>
      <c r="T158" s="77">
        <v>1200</v>
      </c>
      <c r="U158" s="77">
        <v>1200</v>
      </c>
      <c r="V158" s="77">
        <v>-680</v>
      </c>
      <c r="W158" s="77">
        <v>-680</v>
      </c>
      <c r="X158" s="77">
        <v>6080</v>
      </c>
      <c r="Y158" s="77">
        <v>15200</v>
      </c>
      <c r="Z158" s="77">
        <v>150</v>
      </c>
      <c r="AA158" s="78">
        <v>0.1</v>
      </c>
      <c r="AB158" s="77">
        <v>0</v>
      </c>
      <c r="AC158" s="77">
        <v>1824</v>
      </c>
      <c r="AD158" s="77">
        <v>0</v>
      </c>
      <c r="AE158" s="77">
        <v>1974</v>
      </c>
      <c r="AF158" s="77">
        <v>500</v>
      </c>
      <c r="AG158" s="79">
        <v>13726</v>
      </c>
      <c r="AH158" s="82" t="s">
        <v>160</v>
      </c>
      <c r="AI158" s="82" t="s">
        <v>210</v>
      </c>
      <c r="AJ158" s="82">
        <v>10000000005</v>
      </c>
    </row>
    <row r="159" spans="2:36" ht="15.6" x14ac:dyDescent="0.3">
      <c r="B159" s="88">
        <v>6</v>
      </c>
      <c r="C159" s="76" t="s">
        <v>36</v>
      </c>
      <c r="D159" s="88" t="s">
        <v>16</v>
      </c>
      <c r="E159" s="88" t="s">
        <v>57</v>
      </c>
      <c r="F159" s="76" t="s">
        <v>269</v>
      </c>
      <c r="G159" s="76" t="s">
        <v>79</v>
      </c>
      <c r="H159" s="76" t="s">
        <v>276</v>
      </c>
      <c r="I159" s="89" t="s">
        <v>296</v>
      </c>
      <c r="J159" s="89">
        <v>2021</v>
      </c>
      <c r="K159" s="76">
        <v>26</v>
      </c>
      <c r="L159" s="76">
        <v>2</v>
      </c>
      <c r="M159" s="76">
        <v>1</v>
      </c>
      <c r="N159" s="76">
        <v>26</v>
      </c>
      <c r="O159" s="77">
        <v>18000</v>
      </c>
      <c r="P159" s="77">
        <v>10800</v>
      </c>
      <c r="Q159" s="77">
        <v>4320</v>
      </c>
      <c r="R159" s="77">
        <v>1600</v>
      </c>
      <c r="S159" s="77">
        <v>1600</v>
      </c>
      <c r="T159" s="77">
        <v>1250</v>
      </c>
      <c r="U159" s="77">
        <v>1250</v>
      </c>
      <c r="V159" s="77">
        <v>30</v>
      </c>
      <c r="W159" s="77">
        <v>29.999999999999996</v>
      </c>
      <c r="X159" s="77">
        <v>7200</v>
      </c>
      <c r="Y159" s="77">
        <v>18000</v>
      </c>
      <c r="Z159" s="77">
        <v>150</v>
      </c>
      <c r="AA159" s="78">
        <v>0.1</v>
      </c>
      <c r="AB159" s="77">
        <v>0</v>
      </c>
      <c r="AC159" s="77">
        <v>2160</v>
      </c>
      <c r="AD159" s="77">
        <v>0</v>
      </c>
      <c r="AE159" s="77">
        <v>2310</v>
      </c>
      <c r="AF159" s="77">
        <v>500</v>
      </c>
      <c r="AG159" s="79">
        <v>16190</v>
      </c>
      <c r="AH159" s="82" t="s">
        <v>161</v>
      </c>
      <c r="AI159" s="82" t="s">
        <v>211</v>
      </c>
      <c r="AJ159" s="82">
        <v>10000000006</v>
      </c>
    </row>
    <row r="160" spans="2:36" ht="15.6" x14ac:dyDescent="0.3">
      <c r="B160" s="88">
        <v>7</v>
      </c>
      <c r="C160" s="76" t="s">
        <v>37</v>
      </c>
      <c r="D160" s="88" t="s">
        <v>15</v>
      </c>
      <c r="E160" s="88" t="s">
        <v>53</v>
      </c>
      <c r="F160" s="76" t="s">
        <v>270</v>
      </c>
      <c r="G160" s="76" t="s">
        <v>79</v>
      </c>
      <c r="H160" s="76" t="s">
        <v>276</v>
      </c>
      <c r="I160" s="89" t="s">
        <v>296</v>
      </c>
      <c r="J160" s="89">
        <v>2021</v>
      </c>
      <c r="K160" s="76">
        <v>26</v>
      </c>
      <c r="L160" s="76">
        <v>2</v>
      </c>
      <c r="M160" s="76">
        <v>2</v>
      </c>
      <c r="N160" s="76">
        <v>26</v>
      </c>
      <c r="O160" s="77">
        <v>50000</v>
      </c>
      <c r="P160" s="77">
        <v>30000</v>
      </c>
      <c r="Q160" s="77">
        <v>12000</v>
      </c>
      <c r="R160" s="77">
        <v>1600</v>
      </c>
      <c r="S160" s="77">
        <v>1600</v>
      </c>
      <c r="T160" s="77">
        <v>1250</v>
      </c>
      <c r="U160" s="77">
        <v>1250</v>
      </c>
      <c r="V160" s="77">
        <v>5150</v>
      </c>
      <c r="W160" s="77">
        <v>5150</v>
      </c>
      <c r="X160" s="77">
        <v>20000</v>
      </c>
      <c r="Y160" s="77">
        <v>50000</v>
      </c>
      <c r="Z160" s="77">
        <v>200</v>
      </c>
      <c r="AA160" s="78">
        <v>0.1</v>
      </c>
      <c r="AB160" s="77">
        <v>5000</v>
      </c>
      <c r="AC160" s="77">
        <v>6000</v>
      </c>
      <c r="AD160" s="77">
        <v>0</v>
      </c>
      <c r="AE160" s="77">
        <v>11200</v>
      </c>
      <c r="AF160" s="77">
        <v>500</v>
      </c>
      <c r="AG160" s="79">
        <v>39300</v>
      </c>
      <c r="AH160" s="82" t="s">
        <v>162</v>
      </c>
      <c r="AI160" s="82" t="s">
        <v>212</v>
      </c>
      <c r="AJ160" s="82">
        <v>10000000007</v>
      </c>
    </row>
    <row r="161" spans="2:36" ht="15.6" x14ac:dyDescent="0.3">
      <c r="B161" s="88">
        <v>8</v>
      </c>
      <c r="C161" s="76" t="s">
        <v>38</v>
      </c>
      <c r="D161" s="88" t="s">
        <v>17</v>
      </c>
      <c r="E161" s="88" t="s">
        <v>52</v>
      </c>
      <c r="F161" s="76" t="s">
        <v>271</v>
      </c>
      <c r="G161" s="76" t="s">
        <v>79</v>
      </c>
      <c r="H161" s="76" t="s">
        <v>276</v>
      </c>
      <c r="I161" s="89" t="s">
        <v>296</v>
      </c>
      <c r="J161" s="89">
        <v>2021</v>
      </c>
      <c r="K161" s="76">
        <v>26</v>
      </c>
      <c r="L161" s="76">
        <v>2</v>
      </c>
      <c r="M161" s="76">
        <v>1</v>
      </c>
      <c r="N161" s="76">
        <v>26</v>
      </c>
      <c r="O161" s="77">
        <v>35000</v>
      </c>
      <c r="P161" s="77">
        <v>21000</v>
      </c>
      <c r="Q161" s="77">
        <v>8400</v>
      </c>
      <c r="R161" s="77">
        <v>1600</v>
      </c>
      <c r="S161" s="77">
        <v>1600</v>
      </c>
      <c r="T161" s="77">
        <v>1000</v>
      </c>
      <c r="U161" s="77">
        <v>1000</v>
      </c>
      <c r="V161" s="77">
        <v>3000</v>
      </c>
      <c r="W161" s="77">
        <v>3000</v>
      </c>
      <c r="X161" s="77">
        <v>14000</v>
      </c>
      <c r="Y161" s="77">
        <v>35000</v>
      </c>
      <c r="Z161" s="77">
        <v>200</v>
      </c>
      <c r="AA161" s="78">
        <v>0.1</v>
      </c>
      <c r="AB161" s="77">
        <v>0</v>
      </c>
      <c r="AC161" s="77">
        <v>4200</v>
      </c>
      <c r="AD161" s="77">
        <v>2000</v>
      </c>
      <c r="AE161" s="77">
        <v>6400</v>
      </c>
      <c r="AF161" s="77">
        <v>500</v>
      </c>
      <c r="AG161" s="79">
        <v>29100</v>
      </c>
      <c r="AH161" s="82" t="s">
        <v>163</v>
      </c>
      <c r="AI161" s="82" t="s">
        <v>213</v>
      </c>
      <c r="AJ161" s="82">
        <v>10000000008</v>
      </c>
    </row>
    <row r="162" spans="2:36" ht="15.6" x14ac:dyDescent="0.3">
      <c r="B162" s="88">
        <v>9</v>
      </c>
      <c r="C162" s="76" t="s">
        <v>39</v>
      </c>
      <c r="D162" s="88" t="s">
        <v>18</v>
      </c>
      <c r="E162" s="88" t="s">
        <v>58</v>
      </c>
      <c r="F162" s="76" t="s">
        <v>272</v>
      </c>
      <c r="G162" s="76" t="s">
        <v>78</v>
      </c>
      <c r="H162" s="76" t="s">
        <v>276</v>
      </c>
      <c r="I162" s="89" t="s">
        <v>296</v>
      </c>
      <c r="J162" s="89">
        <v>2021</v>
      </c>
      <c r="K162" s="76">
        <v>26</v>
      </c>
      <c r="L162" s="76">
        <v>2</v>
      </c>
      <c r="M162" s="76">
        <v>2</v>
      </c>
      <c r="N162" s="76">
        <v>26</v>
      </c>
      <c r="O162" s="77">
        <v>15000</v>
      </c>
      <c r="P162" s="77">
        <v>9000</v>
      </c>
      <c r="Q162" s="77">
        <v>4500</v>
      </c>
      <c r="R162" s="77">
        <v>1600</v>
      </c>
      <c r="S162" s="77">
        <v>1600</v>
      </c>
      <c r="T162" s="77">
        <v>1000</v>
      </c>
      <c r="U162" s="77">
        <v>1000</v>
      </c>
      <c r="V162" s="77">
        <v>-1100</v>
      </c>
      <c r="W162" s="77">
        <v>-1100</v>
      </c>
      <c r="X162" s="77">
        <v>6000</v>
      </c>
      <c r="Y162" s="77">
        <v>15000</v>
      </c>
      <c r="Z162" s="77">
        <v>150</v>
      </c>
      <c r="AA162" s="78">
        <v>0.1</v>
      </c>
      <c r="AB162" s="77">
        <v>0</v>
      </c>
      <c r="AC162" s="77">
        <v>1800</v>
      </c>
      <c r="AD162" s="77">
        <v>1500</v>
      </c>
      <c r="AE162" s="77">
        <v>3450</v>
      </c>
      <c r="AF162" s="77">
        <v>500</v>
      </c>
      <c r="AG162" s="79">
        <v>12050</v>
      </c>
      <c r="AH162" s="82" t="s">
        <v>164</v>
      </c>
      <c r="AI162" s="82" t="s">
        <v>214</v>
      </c>
      <c r="AJ162" s="82">
        <v>10000000009</v>
      </c>
    </row>
    <row r="163" spans="2:36" ht="15.6" x14ac:dyDescent="0.3">
      <c r="B163" s="88">
        <v>10</v>
      </c>
      <c r="C163" s="76" t="s">
        <v>40</v>
      </c>
      <c r="D163" s="88" t="s">
        <v>19</v>
      </c>
      <c r="E163" s="88" t="s">
        <v>67</v>
      </c>
      <c r="F163" s="76" t="s">
        <v>273</v>
      </c>
      <c r="G163" s="76" t="s">
        <v>78</v>
      </c>
      <c r="H163" s="76" t="s">
        <v>276</v>
      </c>
      <c r="I163" s="89" t="s">
        <v>296</v>
      </c>
      <c r="J163" s="89">
        <v>2021</v>
      </c>
      <c r="K163" s="76">
        <v>26</v>
      </c>
      <c r="L163" s="76">
        <v>2</v>
      </c>
      <c r="M163" s="76">
        <v>0</v>
      </c>
      <c r="N163" s="76">
        <v>26</v>
      </c>
      <c r="O163" s="77">
        <v>13500</v>
      </c>
      <c r="P163" s="77">
        <v>8100.0000000000009</v>
      </c>
      <c r="Q163" s="77">
        <v>4050</v>
      </c>
      <c r="R163" s="77">
        <v>1600</v>
      </c>
      <c r="S163" s="77">
        <v>1600</v>
      </c>
      <c r="T163" s="77">
        <v>800</v>
      </c>
      <c r="U163" s="77">
        <v>800</v>
      </c>
      <c r="V163" s="77">
        <v>-1050</v>
      </c>
      <c r="W163" s="77">
        <v>-1050</v>
      </c>
      <c r="X163" s="77">
        <v>5400</v>
      </c>
      <c r="Y163" s="77">
        <v>13500</v>
      </c>
      <c r="Z163" s="77">
        <v>0</v>
      </c>
      <c r="AA163" s="78">
        <v>0.1</v>
      </c>
      <c r="AB163" s="77">
        <v>0</v>
      </c>
      <c r="AC163" s="77">
        <v>1800</v>
      </c>
      <c r="AD163" s="77">
        <v>5000</v>
      </c>
      <c r="AE163" s="77">
        <v>6800</v>
      </c>
      <c r="AF163" s="77">
        <v>500</v>
      </c>
      <c r="AG163" s="79">
        <v>7200</v>
      </c>
      <c r="AH163" s="82" t="s">
        <v>165</v>
      </c>
      <c r="AI163" s="82" t="s">
        <v>215</v>
      </c>
      <c r="AJ163" s="82">
        <v>10000000010</v>
      </c>
    </row>
    <row r="164" spans="2:36" ht="15.6" x14ac:dyDescent="0.3">
      <c r="B164" s="88">
        <v>11</v>
      </c>
      <c r="C164" s="76" t="s">
        <v>41</v>
      </c>
      <c r="D164" s="88" t="s">
        <v>20</v>
      </c>
      <c r="E164" s="88" t="s">
        <v>54</v>
      </c>
      <c r="F164" s="76" t="s">
        <v>274</v>
      </c>
      <c r="G164" s="76" t="s">
        <v>78</v>
      </c>
      <c r="H164" s="76" t="s">
        <v>276</v>
      </c>
      <c r="I164" s="89" t="s">
        <v>296</v>
      </c>
      <c r="J164" s="89">
        <v>2021</v>
      </c>
      <c r="K164" s="76">
        <v>26</v>
      </c>
      <c r="L164" s="76">
        <v>2</v>
      </c>
      <c r="M164" s="76">
        <v>1</v>
      </c>
      <c r="N164" s="76">
        <v>26</v>
      </c>
      <c r="O164" s="77">
        <v>28000</v>
      </c>
      <c r="P164" s="77">
        <v>16800</v>
      </c>
      <c r="Q164" s="77">
        <v>8400</v>
      </c>
      <c r="R164" s="77">
        <v>1600</v>
      </c>
      <c r="S164" s="77">
        <v>1600</v>
      </c>
      <c r="T164" s="77">
        <v>1200</v>
      </c>
      <c r="U164" s="77">
        <v>1200</v>
      </c>
      <c r="V164" s="77">
        <v>0</v>
      </c>
      <c r="W164" s="77">
        <v>0</v>
      </c>
      <c r="X164" s="77">
        <v>11200</v>
      </c>
      <c r="Y164" s="77">
        <v>28000</v>
      </c>
      <c r="Z164" s="77">
        <v>200</v>
      </c>
      <c r="AA164" s="78">
        <v>0.1</v>
      </c>
      <c r="AB164" s="77">
        <v>0</v>
      </c>
      <c r="AC164" s="77">
        <v>3360</v>
      </c>
      <c r="AD164" s="77">
        <v>3500</v>
      </c>
      <c r="AE164" s="77">
        <v>7060</v>
      </c>
      <c r="AF164" s="77">
        <v>500</v>
      </c>
      <c r="AG164" s="79">
        <v>21440</v>
      </c>
      <c r="AH164" s="82" t="s">
        <v>166</v>
      </c>
      <c r="AI164" s="82" t="s">
        <v>216</v>
      </c>
      <c r="AJ164" s="82">
        <v>10000000011</v>
      </c>
    </row>
    <row r="165" spans="2:36" ht="15.6" x14ac:dyDescent="0.3">
      <c r="B165" s="88">
        <v>12</v>
      </c>
      <c r="C165" s="76" t="s">
        <v>42</v>
      </c>
      <c r="D165" s="88" t="s">
        <v>21</v>
      </c>
      <c r="E165" s="88" t="s">
        <v>55</v>
      </c>
      <c r="F165" s="76" t="s">
        <v>275</v>
      </c>
      <c r="G165" s="76" t="s">
        <v>78</v>
      </c>
      <c r="H165" s="76" t="s">
        <v>276</v>
      </c>
      <c r="I165" s="89" t="s">
        <v>296</v>
      </c>
      <c r="J165" s="89">
        <v>2021</v>
      </c>
      <c r="K165" s="76">
        <v>26</v>
      </c>
      <c r="L165" s="76">
        <v>2</v>
      </c>
      <c r="M165" s="76">
        <v>1</v>
      </c>
      <c r="N165" s="76">
        <v>26</v>
      </c>
      <c r="O165" s="77">
        <v>10000</v>
      </c>
      <c r="P165" s="77">
        <v>6000</v>
      </c>
      <c r="Q165" s="77">
        <v>3000</v>
      </c>
      <c r="R165" s="77">
        <v>1600</v>
      </c>
      <c r="S165" s="77">
        <v>1600</v>
      </c>
      <c r="T165" s="77">
        <v>1250</v>
      </c>
      <c r="U165" s="77">
        <v>1250</v>
      </c>
      <c r="V165" s="77">
        <v>-1850</v>
      </c>
      <c r="W165" s="77">
        <v>-1850.0000000000002</v>
      </c>
      <c r="X165" s="77">
        <v>4000</v>
      </c>
      <c r="Y165" s="77">
        <v>10000</v>
      </c>
      <c r="Z165" s="77">
        <v>0</v>
      </c>
      <c r="AA165" s="78">
        <v>0.1</v>
      </c>
      <c r="AB165" s="77">
        <v>0</v>
      </c>
      <c r="AC165" s="77">
        <v>1800</v>
      </c>
      <c r="AD165" s="77">
        <v>1500</v>
      </c>
      <c r="AE165" s="77">
        <v>3300</v>
      </c>
      <c r="AF165" s="77">
        <v>500</v>
      </c>
      <c r="AG165" s="79">
        <v>7200</v>
      </c>
      <c r="AH165" s="82" t="s">
        <v>167</v>
      </c>
      <c r="AI165" s="82" t="s">
        <v>217</v>
      </c>
      <c r="AJ165" s="82">
        <v>10000000012</v>
      </c>
    </row>
    <row r="166" spans="2:36" ht="15.6" x14ac:dyDescent="0.3">
      <c r="B166" s="88">
        <v>13</v>
      </c>
      <c r="C166" s="76" t="s">
        <v>43</v>
      </c>
      <c r="D166" s="88" t="s">
        <v>22</v>
      </c>
      <c r="E166" s="88" t="s">
        <v>56</v>
      </c>
      <c r="F166" s="76" t="s">
        <v>276</v>
      </c>
      <c r="G166" s="76" t="s">
        <v>78</v>
      </c>
      <c r="H166" s="76" t="s">
        <v>276</v>
      </c>
      <c r="I166" s="89" t="s">
        <v>296</v>
      </c>
      <c r="J166" s="89">
        <v>2021</v>
      </c>
      <c r="K166" s="76">
        <v>26</v>
      </c>
      <c r="L166" s="76">
        <v>2</v>
      </c>
      <c r="M166" s="76">
        <v>2</v>
      </c>
      <c r="N166" s="76">
        <v>26</v>
      </c>
      <c r="O166" s="77">
        <v>10000</v>
      </c>
      <c r="P166" s="77">
        <v>6000</v>
      </c>
      <c r="Q166" s="77">
        <v>3000</v>
      </c>
      <c r="R166" s="77">
        <v>1600</v>
      </c>
      <c r="S166" s="77">
        <v>1600</v>
      </c>
      <c r="T166" s="77">
        <v>1250</v>
      </c>
      <c r="U166" s="77">
        <v>1250</v>
      </c>
      <c r="V166" s="77">
        <v>-1850</v>
      </c>
      <c r="W166" s="77">
        <v>-1850.0000000000002</v>
      </c>
      <c r="X166" s="77">
        <v>4000</v>
      </c>
      <c r="Y166" s="77">
        <v>10000</v>
      </c>
      <c r="Z166" s="77">
        <v>0</v>
      </c>
      <c r="AA166" s="78">
        <v>0.1</v>
      </c>
      <c r="AB166" s="77">
        <v>0</v>
      </c>
      <c r="AC166" s="77">
        <v>1800</v>
      </c>
      <c r="AD166" s="77">
        <v>0</v>
      </c>
      <c r="AE166" s="77">
        <v>1800</v>
      </c>
      <c r="AF166" s="77">
        <v>500</v>
      </c>
      <c r="AG166" s="79">
        <v>8700</v>
      </c>
      <c r="AH166" s="82" t="s">
        <v>168</v>
      </c>
      <c r="AI166" s="82" t="s">
        <v>218</v>
      </c>
      <c r="AJ166" s="82">
        <v>10000000013</v>
      </c>
    </row>
    <row r="167" spans="2:36" ht="15.6" x14ac:dyDescent="0.3">
      <c r="B167" s="88">
        <v>14</v>
      </c>
      <c r="C167" s="76" t="s">
        <v>44</v>
      </c>
      <c r="D167" s="88" t="s">
        <v>23</v>
      </c>
      <c r="E167" s="88" t="s">
        <v>58</v>
      </c>
      <c r="F167" s="76" t="s">
        <v>277</v>
      </c>
      <c r="G167" s="76" t="s">
        <v>78</v>
      </c>
      <c r="H167" s="76" t="s">
        <v>269</v>
      </c>
      <c r="I167" s="89" t="s">
        <v>296</v>
      </c>
      <c r="J167" s="89">
        <v>2021</v>
      </c>
      <c r="K167" s="76">
        <v>26</v>
      </c>
      <c r="L167" s="76">
        <v>2</v>
      </c>
      <c r="M167" s="76">
        <v>0</v>
      </c>
      <c r="N167" s="76">
        <v>26</v>
      </c>
      <c r="O167" s="77">
        <v>18000</v>
      </c>
      <c r="P167" s="77">
        <v>10800</v>
      </c>
      <c r="Q167" s="77">
        <v>5400</v>
      </c>
      <c r="R167" s="77">
        <v>1600</v>
      </c>
      <c r="S167" s="77">
        <v>1600</v>
      </c>
      <c r="T167" s="77">
        <v>1000</v>
      </c>
      <c r="U167" s="77">
        <v>1000</v>
      </c>
      <c r="V167" s="77">
        <v>-800</v>
      </c>
      <c r="W167" s="77">
        <v>-800</v>
      </c>
      <c r="X167" s="77">
        <v>7200</v>
      </c>
      <c r="Y167" s="77">
        <v>18000</v>
      </c>
      <c r="Z167" s="77">
        <v>150</v>
      </c>
      <c r="AA167" s="78">
        <v>0.1</v>
      </c>
      <c r="AB167" s="77">
        <v>0</v>
      </c>
      <c r="AC167" s="77">
        <v>2160</v>
      </c>
      <c r="AD167" s="77">
        <v>0</v>
      </c>
      <c r="AE167" s="77">
        <v>2310</v>
      </c>
      <c r="AF167" s="77">
        <v>500</v>
      </c>
      <c r="AG167" s="79">
        <v>16190</v>
      </c>
      <c r="AH167" s="82" t="s">
        <v>169</v>
      </c>
      <c r="AI167" s="82" t="s">
        <v>219</v>
      </c>
      <c r="AJ167" s="82">
        <v>10000000014</v>
      </c>
    </row>
    <row r="168" spans="2:36" ht="15.6" x14ac:dyDescent="0.3">
      <c r="B168" s="88">
        <v>15</v>
      </c>
      <c r="C168" s="76" t="s">
        <v>45</v>
      </c>
      <c r="D168" s="88" t="s">
        <v>24</v>
      </c>
      <c r="E168" s="88" t="s">
        <v>59</v>
      </c>
      <c r="F168" s="76" t="s">
        <v>278</v>
      </c>
      <c r="G168" s="76" t="s">
        <v>78</v>
      </c>
      <c r="H168" s="76" t="s">
        <v>276</v>
      </c>
      <c r="I168" s="89" t="s">
        <v>296</v>
      </c>
      <c r="J168" s="89">
        <v>2021</v>
      </c>
      <c r="K168" s="76">
        <v>26</v>
      </c>
      <c r="L168" s="76">
        <v>2</v>
      </c>
      <c r="M168" s="76">
        <v>1</v>
      </c>
      <c r="N168" s="76">
        <v>26</v>
      </c>
      <c r="O168" s="77">
        <v>26000</v>
      </c>
      <c r="P168" s="77">
        <v>15600</v>
      </c>
      <c r="Q168" s="77">
        <v>7800</v>
      </c>
      <c r="R168" s="77">
        <v>1600</v>
      </c>
      <c r="S168" s="77">
        <v>1600</v>
      </c>
      <c r="T168" s="77">
        <v>1000</v>
      </c>
      <c r="U168" s="77">
        <v>1000</v>
      </c>
      <c r="V168" s="77">
        <v>0</v>
      </c>
      <c r="W168" s="77">
        <v>0</v>
      </c>
      <c r="X168" s="77">
        <v>10400</v>
      </c>
      <c r="Y168" s="77">
        <v>26000</v>
      </c>
      <c r="Z168" s="77">
        <v>200</v>
      </c>
      <c r="AA168" s="78">
        <v>0.1</v>
      </c>
      <c r="AB168" s="77">
        <v>0</v>
      </c>
      <c r="AC168" s="77">
        <v>3120</v>
      </c>
      <c r="AD168" s="77">
        <v>0</v>
      </c>
      <c r="AE168" s="77">
        <v>3320</v>
      </c>
      <c r="AF168" s="77">
        <v>500</v>
      </c>
      <c r="AG168" s="79">
        <v>23180</v>
      </c>
      <c r="AH168" s="82" t="s">
        <v>170</v>
      </c>
      <c r="AI168" s="82" t="s">
        <v>220</v>
      </c>
      <c r="AJ168" s="82">
        <v>10000000015</v>
      </c>
    </row>
    <row r="169" spans="2:36" ht="15.6" x14ac:dyDescent="0.3">
      <c r="B169" s="88">
        <v>16</v>
      </c>
      <c r="C169" s="76" t="s">
        <v>46</v>
      </c>
      <c r="D169" s="88" t="s">
        <v>25</v>
      </c>
      <c r="E169" s="88" t="s">
        <v>57</v>
      </c>
      <c r="F169" s="76" t="s">
        <v>279</v>
      </c>
      <c r="G169" s="76" t="s">
        <v>78</v>
      </c>
      <c r="H169" s="76" t="s">
        <v>276</v>
      </c>
      <c r="I169" s="89" t="s">
        <v>296</v>
      </c>
      <c r="J169" s="89">
        <v>2021</v>
      </c>
      <c r="K169" s="76">
        <v>26</v>
      </c>
      <c r="L169" s="76">
        <v>2</v>
      </c>
      <c r="M169" s="76">
        <v>1</v>
      </c>
      <c r="N169" s="76">
        <v>26</v>
      </c>
      <c r="O169" s="77">
        <v>22000</v>
      </c>
      <c r="P169" s="77">
        <v>13200</v>
      </c>
      <c r="Q169" s="77">
        <v>6600</v>
      </c>
      <c r="R169" s="77">
        <v>1600</v>
      </c>
      <c r="S169" s="77">
        <v>1600</v>
      </c>
      <c r="T169" s="77">
        <v>800</v>
      </c>
      <c r="U169" s="77">
        <v>800</v>
      </c>
      <c r="V169" s="77">
        <v>-200</v>
      </c>
      <c r="W169" s="77">
        <v>-200</v>
      </c>
      <c r="X169" s="77">
        <v>8800</v>
      </c>
      <c r="Y169" s="77">
        <v>22000</v>
      </c>
      <c r="Z169" s="77">
        <v>200</v>
      </c>
      <c r="AA169" s="78">
        <v>0.1</v>
      </c>
      <c r="AB169" s="77">
        <v>0</v>
      </c>
      <c r="AC169" s="77">
        <v>2640</v>
      </c>
      <c r="AD169" s="77">
        <v>0</v>
      </c>
      <c r="AE169" s="77">
        <v>2840</v>
      </c>
      <c r="AF169" s="77">
        <v>500</v>
      </c>
      <c r="AG169" s="79">
        <v>19660</v>
      </c>
      <c r="AH169" s="82" t="s">
        <v>171</v>
      </c>
      <c r="AI169" s="82" t="s">
        <v>221</v>
      </c>
      <c r="AJ169" s="82">
        <v>10000000016</v>
      </c>
    </row>
    <row r="170" spans="2:36" ht="15.6" x14ac:dyDescent="0.3">
      <c r="B170" s="88">
        <v>17</v>
      </c>
      <c r="C170" s="76" t="s">
        <v>47</v>
      </c>
      <c r="D170" s="88" t="s">
        <v>26</v>
      </c>
      <c r="E170" s="88" t="s">
        <v>58</v>
      </c>
      <c r="F170" s="76" t="s">
        <v>280</v>
      </c>
      <c r="G170" s="76" t="s">
        <v>78</v>
      </c>
      <c r="H170" s="76" t="s">
        <v>276</v>
      </c>
      <c r="I170" s="89" t="s">
        <v>296</v>
      </c>
      <c r="J170" s="89">
        <v>2021</v>
      </c>
      <c r="K170" s="76">
        <v>26</v>
      </c>
      <c r="L170" s="76">
        <v>2</v>
      </c>
      <c r="M170" s="76">
        <v>0</v>
      </c>
      <c r="N170" s="76">
        <v>26</v>
      </c>
      <c r="O170" s="77">
        <v>25000</v>
      </c>
      <c r="P170" s="77">
        <v>15000</v>
      </c>
      <c r="Q170" s="77">
        <v>7500</v>
      </c>
      <c r="R170" s="77">
        <v>1600</v>
      </c>
      <c r="S170" s="77">
        <v>1600</v>
      </c>
      <c r="T170" s="77">
        <v>1200</v>
      </c>
      <c r="U170" s="77">
        <v>1200</v>
      </c>
      <c r="V170" s="77">
        <v>-300</v>
      </c>
      <c r="W170" s="77">
        <v>-300</v>
      </c>
      <c r="X170" s="77">
        <v>10000</v>
      </c>
      <c r="Y170" s="77">
        <v>25000</v>
      </c>
      <c r="Z170" s="77">
        <v>200</v>
      </c>
      <c r="AA170" s="78">
        <v>0.1</v>
      </c>
      <c r="AB170" s="77">
        <v>0</v>
      </c>
      <c r="AC170" s="77">
        <v>3000</v>
      </c>
      <c r="AD170" s="77">
        <v>0</v>
      </c>
      <c r="AE170" s="77">
        <v>3200</v>
      </c>
      <c r="AF170" s="77">
        <v>500</v>
      </c>
      <c r="AG170" s="79">
        <v>22300</v>
      </c>
      <c r="AH170" s="82" t="s">
        <v>172</v>
      </c>
      <c r="AI170" s="82" t="s">
        <v>222</v>
      </c>
      <c r="AJ170" s="82">
        <v>10000000017</v>
      </c>
    </row>
    <row r="171" spans="2:36" ht="15.6" x14ac:dyDescent="0.3">
      <c r="B171" s="88">
        <v>18</v>
      </c>
      <c r="C171" s="76" t="s">
        <v>48</v>
      </c>
      <c r="D171" s="88" t="s">
        <v>9</v>
      </c>
      <c r="E171" s="88" t="s">
        <v>57</v>
      </c>
      <c r="F171" s="76" t="s">
        <v>281</v>
      </c>
      <c r="G171" s="76" t="s">
        <v>78</v>
      </c>
      <c r="H171" s="76" t="s">
        <v>276</v>
      </c>
      <c r="I171" s="89" t="s">
        <v>296</v>
      </c>
      <c r="J171" s="89">
        <v>2021</v>
      </c>
      <c r="K171" s="76">
        <v>26</v>
      </c>
      <c r="L171" s="76">
        <v>2</v>
      </c>
      <c r="M171" s="76">
        <v>2</v>
      </c>
      <c r="N171" s="76">
        <v>26</v>
      </c>
      <c r="O171" s="77">
        <v>12500</v>
      </c>
      <c r="P171" s="77">
        <v>7500</v>
      </c>
      <c r="Q171" s="77">
        <v>3750</v>
      </c>
      <c r="R171" s="77">
        <v>1600</v>
      </c>
      <c r="S171" s="77">
        <v>1600</v>
      </c>
      <c r="T171" s="77">
        <v>1250</v>
      </c>
      <c r="U171" s="77">
        <v>1250</v>
      </c>
      <c r="V171" s="77">
        <v>-1600</v>
      </c>
      <c r="W171" s="77">
        <v>-1600</v>
      </c>
      <c r="X171" s="77">
        <v>5000</v>
      </c>
      <c r="Y171" s="77">
        <v>12500</v>
      </c>
      <c r="Z171" s="77">
        <v>0</v>
      </c>
      <c r="AA171" s="78">
        <v>0.1</v>
      </c>
      <c r="AB171" s="77">
        <v>0</v>
      </c>
      <c r="AC171" s="77">
        <v>1800</v>
      </c>
      <c r="AD171" s="77">
        <v>0</v>
      </c>
      <c r="AE171" s="77">
        <v>1800</v>
      </c>
      <c r="AF171" s="77">
        <v>500</v>
      </c>
      <c r="AG171" s="79">
        <v>11200</v>
      </c>
      <c r="AH171" s="82" t="s">
        <v>173</v>
      </c>
      <c r="AI171" s="82" t="s">
        <v>223</v>
      </c>
      <c r="AJ171" s="82">
        <v>10000000018</v>
      </c>
    </row>
    <row r="172" spans="2:36" ht="15.6" x14ac:dyDescent="0.3">
      <c r="B172" s="88">
        <v>19</v>
      </c>
      <c r="C172" s="76" t="s">
        <v>49</v>
      </c>
      <c r="D172" s="88" t="s">
        <v>27</v>
      </c>
      <c r="E172" s="88" t="s">
        <v>57</v>
      </c>
      <c r="F172" s="76" t="s">
        <v>282</v>
      </c>
      <c r="G172" s="76" t="s">
        <v>78</v>
      </c>
      <c r="H172" s="76" t="s">
        <v>276</v>
      </c>
      <c r="I172" s="89" t="s">
        <v>296</v>
      </c>
      <c r="J172" s="89">
        <v>2021</v>
      </c>
      <c r="K172" s="76">
        <v>26</v>
      </c>
      <c r="L172" s="76">
        <v>2</v>
      </c>
      <c r="M172" s="76">
        <v>0</v>
      </c>
      <c r="N172" s="76">
        <v>26</v>
      </c>
      <c r="O172" s="77">
        <v>25000</v>
      </c>
      <c r="P172" s="77">
        <v>15000</v>
      </c>
      <c r="Q172" s="77">
        <v>7500</v>
      </c>
      <c r="R172" s="77">
        <v>1600</v>
      </c>
      <c r="S172" s="77">
        <v>1600</v>
      </c>
      <c r="T172" s="77">
        <v>1250</v>
      </c>
      <c r="U172" s="77">
        <v>1250</v>
      </c>
      <c r="V172" s="77">
        <v>-350</v>
      </c>
      <c r="W172" s="77">
        <v>-350</v>
      </c>
      <c r="X172" s="77">
        <v>10000</v>
      </c>
      <c r="Y172" s="77">
        <v>25000</v>
      </c>
      <c r="Z172" s="77">
        <v>200</v>
      </c>
      <c r="AA172" s="78">
        <v>0.1</v>
      </c>
      <c r="AB172" s="77">
        <v>0</v>
      </c>
      <c r="AC172" s="77">
        <v>3000</v>
      </c>
      <c r="AD172" s="77">
        <v>0</v>
      </c>
      <c r="AE172" s="77">
        <v>3200</v>
      </c>
      <c r="AF172" s="77">
        <v>500</v>
      </c>
      <c r="AG172" s="79">
        <v>22300</v>
      </c>
      <c r="AH172" s="82" t="s">
        <v>174</v>
      </c>
      <c r="AI172" s="82" t="s">
        <v>224</v>
      </c>
      <c r="AJ172" s="82">
        <v>10000000019</v>
      </c>
    </row>
    <row r="173" spans="2:36" ht="15.6" x14ac:dyDescent="0.3">
      <c r="B173" s="88">
        <v>20</v>
      </c>
      <c r="C173" s="76" t="s">
        <v>50</v>
      </c>
      <c r="D173" s="88" t="s">
        <v>28</v>
      </c>
      <c r="E173" s="88" t="s">
        <v>59</v>
      </c>
      <c r="F173" s="76" t="s">
        <v>283</v>
      </c>
      <c r="G173" s="76" t="s">
        <v>78</v>
      </c>
      <c r="H173" s="76" t="s">
        <v>276</v>
      </c>
      <c r="I173" s="89" t="s">
        <v>296</v>
      </c>
      <c r="J173" s="89">
        <v>2021</v>
      </c>
      <c r="K173" s="76">
        <v>26</v>
      </c>
      <c r="L173" s="76">
        <v>2</v>
      </c>
      <c r="M173" s="76">
        <v>1</v>
      </c>
      <c r="N173" s="76">
        <v>26</v>
      </c>
      <c r="O173" s="77">
        <v>25000</v>
      </c>
      <c r="P173" s="77">
        <v>15000</v>
      </c>
      <c r="Q173" s="77">
        <v>7500</v>
      </c>
      <c r="R173" s="77">
        <v>1600</v>
      </c>
      <c r="S173" s="77">
        <v>1600</v>
      </c>
      <c r="T173" s="77">
        <v>1000</v>
      </c>
      <c r="U173" s="77">
        <v>1000</v>
      </c>
      <c r="V173" s="77">
        <v>-100</v>
      </c>
      <c r="W173" s="77">
        <v>-100</v>
      </c>
      <c r="X173" s="77">
        <v>10000</v>
      </c>
      <c r="Y173" s="77">
        <v>25000</v>
      </c>
      <c r="Z173" s="77">
        <v>200</v>
      </c>
      <c r="AA173" s="78">
        <v>0.1</v>
      </c>
      <c r="AB173" s="77">
        <v>0</v>
      </c>
      <c r="AC173" s="77">
        <v>3000</v>
      </c>
      <c r="AD173" s="77">
        <v>0</v>
      </c>
      <c r="AE173" s="77">
        <v>3200</v>
      </c>
      <c r="AF173" s="77">
        <v>500</v>
      </c>
      <c r="AG173" s="79">
        <v>22300</v>
      </c>
      <c r="AH173" s="82" t="s">
        <v>175</v>
      </c>
      <c r="AI173" s="82" t="s">
        <v>225</v>
      </c>
      <c r="AJ173" s="82">
        <v>10000000020</v>
      </c>
    </row>
    <row r="174" spans="2:36" ht="15.6" x14ac:dyDescent="0.3">
      <c r="B174" s="88">
        <v>21</v>
      </c>
      <c r="C174" s="76" t="s">
        <v>61</v>
      </c>
      <c r="D174" s="88" t="s">
        <v>68</v>
      </c>
      <c r="E174" s="88"/>
      <c r="F174" s="76"/>
      <c r="G174" s="76"/>
      <c r="H174" s="76"/>
      <c r="I174" s="89" t="s">
        <v>296</v>
      </c>
      <c r="J174" s="89">
        <v>2021</v>
      </c>
      <c r="K174" s="76">
        <v>26</v>
      </c>
      <c r="L174" s="76">
        <v>2</v>
      </c>
      <c r="M174" s="76">
        <v>5</v>
      </c>
      <c r="N174" s="76">
        <v>23</v>
      </c>
      <c r="O174" s="77">
        <v>25000</v>
      </c>
      <c r="P174" s="77">
        <v>13269.23076923077</v>
      </c>
      <c r="Q174" s="77">
        <v>0</v>
      </c>
      <c r="R174" s="77">
        <v>1600</v>
      </c>
      <c r="S174" s="77">
        <v>1415.3846153846155</v>
      </c>
      <c r="T174" s="77">
        <v>1000</v>
      </c>
      <c r="U174" s="77">
        <v>884.61538461538453</v>
      </c>
      <c r="V174" s="77">
        <v>9130.7692307692305</v>
      </c>
      <c r="W174" s="77">
        <v>8077.2189349112423</v>
      </c>
      <c r="X174" s="77">
        <v>10377.218934911241</v>
      </c>
      <c r="Y174" s="77">
        <v>23646.449704142011</v>
      </c>
      <c r="Z174" s="77">
        <v>200</v>
      </c>
      <c r="AA174" s="78">
        <v>0.1</v>
      </c>
      <c r="AB174" s="77">
        <v>0</v>
      </c>
      <c r="AC174" s="77">
        <v>2837.5739644970413</v>
      </c>
      <c r="AD174" s="77">
        <v>0</v>
      </c>
      <c r="AE174" s="77">
        <v>3037.5739644970413</v>
      </c>
      <c r="AF174" s="77">
        <v>500</v>
      </c>
      <c r="AG174" s="79">
        <v>21108.875739644969</v>
      </c>
      <c r="AH174" s="82" t="s">
        <v>176</v>
      </c>
      <c r="AI174" s="82" t="s">
        <v>226</v>
      </c>
      <c r="AJ174" s="82">
        <v>10000000021</v>
      </c>
    </row>
    <row r="175" spans="2:36" ht="15.6" x14ac:dyDescent="0.3">
      <c r="B175" s="88">
        <v>22</v>
      </c>
      <c r="C175" s="76" t="s">
        <v>62</v>
      </c>
      <c r="D175" s="88" t="s">
        <v>69</v>
      </c>
      <c r="E175" s="88"/>
      <c r="F175" s="76"/>
      <c r="G175" s="76"/>
      <c r="H175" s="76"/>
      <c r="I175" s="89" t="s">
        <v>296</v>
      </c>
      <c r="J175" s="89">
        <v>2021</v>
      </c>
      <c r="K175" s="76">
        <v>26</v>
      </c>
      <c r="L175" s="76">
        <v>2</v>
      </c>
      <c r="M175" s="76">
        <v>0</v>
      </c>
      <c r="N175" s="76">
        <v>26</v>
      </c>
      <c r="O175" s="77">
        <v>25000</v>
      </c>
      <c r="P175" s="77">
        <v>15000</v>
      </c>
      <c r="Q175" s="77">
        <v>0</v>
      </c>
      <c r="R175" s="77">
        <v>1600</v>
      </c>
      <c r="S175" s="77">
        <v>1600</v>
      </c>
      <c r="T175" s="77">
        <v>800</v>
      </c>
      <c r="U175" s="77">
        <v>800</v>
      </c>
      <c r="V175" s="77">
        <v>7600</v>
      </c>
      <c r="W175" s="77">
        <v>7600</v>
      </c>
      <c r="X175" s="77">
        <v>10000</v>
      </c>
      <c r="Y175" s="77">
        <v>25000</v>
      </c>
      <c r="Z175" s="77">
        <v>200</v>
      </c>
      <c r="AA175" s="78">
        <v>0.1</v>
      </c>
      <c r="AB175" s="77">
        <v>0</v>
      </c>
      <c r="AC175" s="77">
        <v>3000</v>
      </c>
      <c r="AD175" s="77">
        <v>0</v>
      </c>
      <c r="AE175" s="77">
        <v>3200</v>
      </c>
      <c r="AF175" s="77">
        <v>500</v>
      </c>
      <c r="AG175" s="79">
        <v>22300</v>
      </c>
      <c r="AH175" s="82" t="s">
        <v>177</v>
      </c>
      <c r="AI175" s="82" t="s">
        <v>227</v>
      </c>
      <c r="AJ175" s="82">
        <v>10000000022</v>
      </c>
    </row>
    <row r="176" spans="2:36" ht="15.6" x14ac:dyDescent="0.3">
      <c r="B176" s="88">
        <v>23</v>
      </c>
      <c r="C176" s="76" t="s">
        <v>63</v>
      </c>
      <c r="D176" s="88" t="s">
        <v>70</v>
      </c>
      <c r="E176" s="88"/>
      <c r="F176" s="76"/>
      <c r="G176" s="76"/>
      <c r="H176" s="76"/>
      <c r="I176" s="89" t="s">
        <v>296</v>
      </c>
      <c r="J176" s="89">
        <v>2021</v>
      </c>
      <c r="K176" s="76">
        <v>26</v>
      </c>
      <c r="L176" s="76">
        <v>2</v>
      </c>
      <c r="M176" s="76">
        <v>0</v>
      </c>
      <c r="N176" s="76">
        <v>26</v>
      </c>
      <c r="O176" s="77">
        <v>25000</v>
      </c>
      <c r="P176" s="77">
        <v>15000</v>
      </c>
      <c r="Q176" s="77">
        <v>0</v>
      </c>
      <c r="R176" s="77">
        <v>1600</v>
      </c>
      <c r="S176" s="77">
        <v>1600</v>
      </c>
      <c r="T176" s="77">
        <v>1200</v>
      </c>
      <c r="U176" s="77">
        <v>1200</v>
      </c>
      <c r="V176" s="77">
        <v>7200</v>
      </c>
      <c r="W176" s="77">
        <v>7200</v>
      </c>
      <c r="X176" s="77">
        <v>10000</v>
      </c>
      <c r="Y176" s="77">
        <v>25000</v>
      </c>
      <c r="Z176" s="77">
        <v>200</v>
      </c>
      <c r="AA176" s="78">
        <v>0.1</v>
      </c>
      <c r="AB176" s="77">
        <v>0</v>
      </c>
      <c r="AC176" s="77">
        <v>3000</v>
      </c>
      <c r="AD176" s="77">
        <v>0</v>
      </c>
      <c r="AE176" s="77">
        <v>3200</v>
      </c>
      <c r="AF176" s="77">
        <v>500</v>
      </c>
      <c r="AG176" s="79">
        <v>22300</v>
      </c>
      <c r="AH176" s="82" t="s">
        <v>178</v>
      </c>
      <c r="AI176" s="82" t="s">
        <v>228</v>
      </c>
      <c r="AJ176" s="82">
        <v>10000000023</v>
      </c>
    </row>
    <row r="177" spans="2:36" ht="15.6" x14ac:dyDescent="0.3">
      <c r="B177" s="88">
        <v>24</v>
      </c>
      <c r="C177" s="76" t="s">
        <v>64</v>
      </c>
      <c r="D177" s="88" t="s">
        <v>71</v>
      </c>
      <c r="E177" s="88"/>
      <c r="F177" s="76"/>
      <c r="G177" s="76"/>
      <c r="H177" s="76"/>
      <c r="I177" s="89" t="s">
        <v>296</v>
      </c>
      <c r="J177" s="89">
        <v>2021</v>
      </c>
      <c r="K177" s="76">
        <v>26</v>
      </c>
      <c r="L177" s="76">
        <v>2</v>
      </c>
      <c r="M177" s="76">
        <v>0</v>
      </c>
      <c r="N177" s="76">
        <v>26</v>
      </c>
      <c r="O177" s="77">
        <v>25000</v>
      </c>
      <c r="P177" s="77">
        <v>15000</v>
      </c>
      <c r="Q177" s="77">
        <v>0</v>
      </c>
      <c r="R177" s="77">
        <v>1600</v>
      </c>
      <c r="S177" s="77">
        <v>1600</v>
      </c>
      <c r="T177" s="77">
        <v>1250</v>
      </c>
      <c r="U177" s="77">
        <v>1250</v>
      </c>
      <c r="V177" s="77">
        <v>7150</v>
      </c>
      <c r="W177" s="77">
        <v>7150</v>
      </c>
      <c r="X177" s="77">
        <v>10000</v>
      </c>
      <c r="Y177" s="77">
        <v>25000</v>
      </c>
      <c r="Z177" s="77">
        <v>200</v>
      </c>
      <c r="AA177" s="78">
        <v>0.1</v>
      </c>
      <c r="AB177" s="77">
        <v>0</v>
      </c>
      <c r="AC177" s="77">
        <v>3000</v>
      </c>
      <c r="AD177" s="77">
        <v>0</v>
      </c>
      <c r="AE177" s="77">
        <v>3200</v>
      </c>
      <c r="AF177" s="77">
        <v>500</v>
      </c>
      <c r="AG177" s="79">
        <v>22300</v>
      </c>
      <c r="AH177" s="82" t="s">
        <v>179</v>
      </c>
      <c r="AI177" s="82" t="s">
        <v>229</v>
      </c>
      <c r="AJ177" s="82">
        <v>10000000024</v>
      </c>
    </row>
    <row r="178" spans="2:36" ht="15.6" x14ac:dyDescent="0.3">
      <c r="B178" s="88">
        <v>25</v>
      </c>
      <c r="C178" s="76" t="s">
        <v>65</v>
      </c>
      <c r="D178" s="88" t="s">
        <v>72</v>
      </c>
      <c r="E178" s="88"/>
      <c r="F178" s="76"/>
      <c r="G178" s="76"/>
      <c r="H178" s="76"/>
      <c r="I178" s="89" t="s">
        <v>296</v>
      </c>
      <c r="J178" s="89">
        <v>2021</v>
      </c>
      <c r="K178" s="76">
        <v>26</v>
      </c>
      <c r="L178" s="76">
        <v>2</v>
      </c>
      <c r="M178" s="76">
        <v>1</v>
      </c>
      <c r="N178" s="76">
        <v>26</v>
      </c>
      <c r="O178" s="77">
        <v>25000</v>
      </c>
      <c r="P178" s="77">
        <v>15000</v>
      </c>
      <c r="Q178" s="77">
        <v>0</v>
      </c>
      <c r="R178" s="77">
        <v>1600</v>
      </c>
      <c r="S178" s="77">
        <v>1600</v>
      </c>
      <c r="T178" s="77">
        <v>0</v>
      </c>
      <c r="U178" s="77">
        <v>0</v>
      </c>
      <c r="V178" s="77">
        <v>8400</v>
      </c>
      <c r="W178" s="77">
        <v>8400</v>
      </c>
      <c r="X178" s="77">
        <v>10000</v>
      </c>
      <c r="Y178" s="77">
        <v>25000</v>
      </c>
      <c r="Z178" s="77">
        <v>200</v>
      </c>
      <c r="AA178" s="78">
        <v>0.1</v>
      </c>
      <c r="AB178" s="77">
        <v>0</v>
      </c>
      <c r="AC178" s="77">
        <v>3000</v>
      </c>
      <c r="AD178" s="77">
        <v>0</v>
      </c>
      <c r="AE178" s="77">
        <v>3200</v>
      </c>
      <c r="AF178" s="77">
        <v>500</v>
      </c>
      <c r="AG178" s="79">
        <v>22300</v>
      </c>
      <c r="AH178" s="82" t="s">
        <v>180</v>
      </c>
      <c r="AI178" s="82" t="s">
        <v>230</v>
      </c>
      <c r="AJ178" s="82">
        <v>10000000025</v>
      </c>
    </row>
    <row r="179" spans="2:36" ht="15.6" x14ac:dyDescent="0.3">
      <c r="B179" s="88">
        <v>26</v>
      </c>
      <c r="C179" s="76" t="s">
        <v>74</v>
      </c>
      <c r="D179" s="88" t="s">
        <v>73</v>
      </c>
      <c r="E179" s="88"/>
      <c r="F179" s="76"/>
      <c r="G179" s="76"/>
      <c r="H179" s="76"/>
      <c r="I179" s="89" t="s">
        <v>296</v>
      </c>
      <c r="J179" s="89">
        <v>2021</v>
      </c>
      <c r="K179" s="76">
        <v>26</v>
      </c>
      <c r="L179" s="76">
        <v>2</v>
      </c>
      <c r="M179" s="76">
        <v>0</v>
      </c>
      <c r="N179" s="76">
        <v>26</v>
      </c>
      <c r="O179" s="77">
        <v>25000</v>
      </c>
      <c r="P179" s="77">
        <v>15000</v>
      </c>
      <c r="Q179" s="77">
        <v>0</v>
      </c>
      <c r="R179" s="77">
        <v>1600</v>
      </c>
      <c r="S179" s="77">
        <v>1600</v>
      </c>
      <c r="T179" s="77">
        <v>0</v>
      </c>
      <c r="U179" s="77">
        <v>0</v>
      </c>
      <c r="V179" s="77">
        <v>8400</v>
      </c>
      <c r="W179" s="77">
        <v>8400</v>
      </c>
      <c r="X179" s="77">
        <v>10000</v>
      </c>
      <c r="Y179" s="77">
        <v>25000</v>
      </c>
      <c r="Z179" s="77">
        <v>200</v>
      </c>
      <c r="AA179" s="78">
        <v>0.1</v>
      </c>
      <c r="AB179" s="77">
        <v>0</v>
      </c>
      <c r="AC179" s="77">
        <v>3000</v>
      </c>
      <c r="AD179" s="77">
        <v>0</v>
      </c>
      <c r="AE179" s="77">
        <v>3200</v>
      </c>
      <c r="AF179" s="77">
        <v>500</v>
      </c>
      <c r="AG179" s="79">
        <v>22300</v>
      </c>
      <c r="AH179" s="82" t="s">
        <v>181</v>
      </c>
      <c r="AI179" s="82" t="s">
        <v>231</v>
      </c>
      <c r="AJ179" s="82">
        <v>10000000026</v>
      </c>
    </row>
    <row r="180" spans="2:36" ht="15.6" x14ac:dyDescent="0.3">
      <c r="B180" s="88">
        <v>27</v>
      </c>
      <c r="C180" s="76" t="s">
        <v>122</v>
      </c>
      <c r="D180" s="88" t="s">
        <v>99</v>
      </c>
      <c r="E180" s="88"/>
      <c r="F180" s="76"/>
      <c r="G180" s="76"/>
      <c r="H180" s="76"/>
      <c r="I180" s="89" t="s">
        <v>296</v>
      </c>
      <c r="J180" s="89">
        <v>2021</v>
      </c>
      <c r="K180" s="76">
        <v>26</v>
      </c>
      <c r="L180" s="76">
        <v>2</v>
      </c>
      <c r="M180" s="76">
        <v>1</v>
      </c>
      <c r="N180" s="76">
        <v>26</v>
      </c>
      <c r="O180" s="77"/>
      <c r="P180" s="77">
        <v>0</v>
      </c>
      <c r="Q180" s="77">
        <v>0</v>
      </c>
      <c r="R180" s="77">
        <v>0</v>
      </c>
      <c r="S180" s="77">
        <v>0</v>
      </c>
      <c r="T180" s="77">
        <v>0</v>
      </c>
      <c r="U180" s="77">
        <v>0</v>
      </c>
      <c r="V180" s="77">
        <v>0</v>
      </c>
      <c r="W180" s="77">
        <v>0</v>
      </c>
      <c r="X180" s="77">
        <v>0</v>
      </c>
      <c r="Y180" s="77">
        <v>0</v>
      </c>
      <c r="Z180" s="77">
        <v>0</v>
      </c>
      <c r="AA180" s="78">
        <v>0.1</v>
      </c>
      <c r="AB180" s="77">
        <v>0</v>
      </c>
      <c r="AC180" s="77">
        <v>0</v>
      </c>
      <c r="AD180" s="77">
        <v>0</v>
      </c>
      <c r="AE180" s="77">
        <v>0</v>
      </c>
      <c r="AF180" s="77">
        <v>0</v>
      </c>
      <c r="AG180" s="79">
        <v>0</v>
      </c>
      <c r="AH180" s="82" t="s">
        <v>182</v>
      </c>
      <c r="AI180" s="82" t="s">
        <v>232</v>
      </c>
      <c r="AJ180" s="82">
        <v>10000000027</v>
      </c>
    </row>
    <row r="181" spans="2:36" ht="15.6" x14ac:dyDescent="0.3">
      <c r="B181" s="88">
        <v>28</v>
      </c>
      <c r="C181" s="76" t="s">
        <v>123</v>
      </c>
      <c r="D181" s="88" t="s">
        <v>98</v>
      </c>
      <c r="E181" s="88"/>
      <c r="F181" s="76"/>
      <c r="G181" s="76"/>
      <c r="H181" s="76"/>
      <c r="I181" s="89" t="s">
        <v>296</v>
      </c>
      <c r="J181" s="89">
        <v>2021</v>
      </c>
      <c r="K181" s="76">
        <v>26</v>
      </c>
      <c r="L181" s="76">
        <v>2</v>
      </c>
      <c r="M181" s="76">
        <v>1</v>
      </c>
      <c r="N181" s="76">
        <v>26</v>
      </c>
      <c r="O181" s="77"/>
      <c r="P181" s="77">
        <v>0</v>
      </c>
      <c r="Q181" s="77">
        <v>0</v>
      </c>
      <c r="R181" s="77">
        <v>0</v>
      </c>
      <c r="S181" s="77">
        <v>0</v>
      </c>
      <c r="T181" s="77">
        <v>0</v>
      </c>
      <c r="U181" s="77">
        <v>0</v>
      </c>
      <c r="V181" s="77">
        <v>0</v>
      </c>
      <c r="W181" s="77">
        <v>0</v>
      </c>
      <c r="X181" s="77">
        <v>0</v>
      </c>
      <c r="Y181" s="77">
        <v>0</v>
      </c>
      <c r="Z181" s="77">
        <v>0</v>
      </c>
      <c r="AA181" s="78">
        <v>0.1</v>
      </c>
      <c r="AB181" s="77">
        <v>0</v>
      </c>
      <c r="AC181" s="77">
        <v>0</v>
      </c>
      <c r="AD181" s="77">
        <v>0</v>
      </c>
      <c r="AE181" s="77">
        <v>0</v>
      </c>
      <c r="AF181" s="77">
        <v>0</v>
      </c>
      <c r="AG181" s="79">
        <v>0</v>
      </c>
      <c r="AH181" s="82" t="s">
        <v>183</v>
      </c>
      <c r="AI181" s="82" t="s">
        <v>233</v>
      </c>
      <c r="AJ181" s="82">
        <v>10000000028</v>
      </c>
    </row>
    <row r="182" spans="2:36" ht="15.6" x14ac:dyDescent="0.3">
      <c r="B182" s="88">
        <v>29</v>
      </c>
      <c r="C182" s="76" t="s">
        <v>124</v>
      </c>
      <c r="D182" s="88" t="s">
        <v>100</v>
      </c>
      <c r="E182" s="88"/>
      <c r="F182" s="76"/>
      <c r="G182" s="76"/>
      <c r="H182" s="76"/>
      <c r="I182" s="89" t="s">
        <v>296</v>
      </c>
      <c r="J182" s="89">
        <v>2021</v>
      </c>
      <c r="K182" s="76">
        <v>26</v>
      </c>
      <c r="L182" s="76">
        <v>2</v>
      </c>
      <c r="M182" s="76">
        <v>9</v>
      </c>
      <c r="N182" s="76">
        <v>19</v>
      </c>
      <c r="O182" s="77"/>
      <c r="P182" s="77">
        <v>0</v>
      </c>
      <c r="Q182" s="77">
        <v>0</v>
      </c>
      <c r="R182" s="77">
        <v>0</v>
      </c>
      <c r="S182" s="77">
        <v>0</v>
      </c>
      <c r="T182" s="77">
        <v>0</v>
      </c>
      <c r="U182" s="77">
        <v>0</v>
      </c>
      <c r="V182" s="77">
        <v>0</v>
      </c>
      <c r="W182" s="77">
        <v>0</v>
      </c>
      <c r="X182" s="77">
        <v>0</v>
      </c>
      <c r="Y182" s="77">
        <v>0</v>
      </c>
      <c r="Z182" s="77">
        <v>0</v>
      </c>
      <c r="AA182" s="78">
        <v>0.1</v>
      </c>
      <c r="AB182" s="77">
        <v>0</v>
      </c>
      <c r="AC182" s="77">
        <v>0</v>
      </c>
      <c r="AD182" s="77">
        <v>0</v>
      </c>
      <c r="AE182" s="77">
        <v>0</v>
      </c>
      <c r="AF182" s="77">
        <v>0</v>
      </c>
      <c r="AG182" s="79">
        <v>0</v>
      </c>
      <c r="AH182" s="82" t="s">
        <v>184</v>
      </c>
      <c r="AI182" s="82" t="s">
        <v>234</v>
      </c>
      <c r="AJ182" s="82">
        <v>10000000029</v>
      </c>
    </row>
    <row r="183" spans="2:36" ht="15.6" x14ac:dyDescent="0.3">
      <c r="B183" s="88">
        <v>30</v>
      </c>
      <c r="C183" s="76" t="s">
        <v>125</v>
      </c>
      <c r="D183" s="88" t="s">
        <v>101</v>
      </c>
      <c r="E183" s="88"/>
      <c r="F183" s="76"/>
      <c r="G183" s="76"/>
      <c r="H183" s="76"/>
      <c r="I183" s="89" t="s">
        <v>296</v>
      </c>
      <c r="J183" s="89">
        <v>2021</v>
      </c>
      <c r="K183" s="76">
        <v>26</v>
      </c>
      <c r="L183" s="76">
        <v>2</v>
      </c>
      <c r="M183" s="76">
        <v>0</v>
      </c>
      <c r="N183" s="76">
        <v>26</v>
      </c>
      <c r="O183" s="77"/>
      <c r="P183" s="77">
        <v>0</v>
      </c>
      <c r="Q183" s="77">
        <v>0</v>
      </c>
      <c r="R183" s="77">
        <v>0</v>
      </c>
      <c r="S183" s="77">
        <v>0</v>
      </c>
      <c r="T183" s="77">
        <v>0</v>
      </c>
      <c r="U183" s="77">
        <v>0</v>
      </c>
      <c r="V183" s="77">
        <v>0</v>
      </c>
      <c r="W183" s="77">
        <v>0</v>
      </c>
      <c r="X183" s="77">
        <v>0</v>
      </c>
      <c r="Y183" s="77">
        <v>0</v>
      </c>
      <c r="Z183" s="77">
        <v>0</v>
      </c>
      <c r="AA183" s="78">
        <v>0.1</v>
      </c>
      <c r="AB183" s="77">
        <v>0</v>
      </c>
      <c r="AC183" s="77">
        <v>0</v>
      </c>
      <c r="AD183" s="77">
        <v>0</v>
      </c>
      <c r="AE183" s="77">
        <v>0</v>
      </c>
      <c r="AF183" s="77">
        <v>0</v>
      </c>
      <c r="AG183" s="79">
        <v>0</v>
      </c>
      <c r="AH183" s="82" t="s">
        <v>185</v>
      </c>
      <c r="AI183" s="82" t="s">
        <v>235</v>
      </c>
      <c r="AJ183" s="82">
        <v>10000000030</v>
      </c>
    </row>
    <row r="184" spans="2:36" ht="15.6" x14ac:dyDescent="0.3">
      <c r="B184" s="88">
        <v>31</v>
      </c>
      <c r="C184" s="76" t="s">
        <v>126</v>
      </c>
      <c r="D184" s="88" t="s">
        <v>102</v>
      </c>
      <c r="E184" s="88"/>
      <c r="F184" s="76"/>
      <c r="G184" s="76"/>
      <c r="H184" s="76"/>
      <c r="I184" s="89" t="s">
        <v>296</v>
      </c>
      <c r="J184" s="89">
        <v>2021</v>
      </c>
      <c r="K184" s="76">
        <v>26</v>
      </c>
      <c r="L184" s="76">
        <v>2</v>
      </c>
      <c r="M184" s="76">
        <v>0</v>
      </c>
      <c r="N184" s="76">
        <v>26</v>
      </c>
      <c r="O184" s="77"/>
      <c r="P184" s="77">
        <v>0</v>
      </c>
      <c r="Q184" s="77">
        <v>0</v>
      </c>
      <c r="R184" s="77">
        <v>0</v>
      </c>
      <c r="S184" s="77">
        <v>0</v>
      </c>
      <c r="T184" s="77">
        <v>0</v>
      </c>
      <c r="U184" s="77">
        <v>0</v>
      </c>
      <c r="V184" s="77">
        <v>0</v>
      </c>
      <c r="W184" s="77">
        <v>0</v>
      </c>
      <c r="X184" s="77">
        <v>0</v>
      </c>
      <c r="Y184" s="77">
        <v>0</v>
      </c>
      <c r="Z184" s="77">
        <v>0</v>
      </c>
      <c r="AA184" s="78">
        <v>0.1</v>
      </c>
      <c r="AB184" s="77">
        <v>0</v>
      </c>
      <c r="AC184" s="77">
        <v>0</v>
      </c>
      <c r="AD184" s="77">
        <v>0</v>
      </c>
      <c r="AE184" s="77">
        <v>0</v>
      </c>
      <c r="AF184" s="77">
        <v>0</v>
      </c>
      <c r="AG184" s="79">
        <v>0</v>
      </c>
      <c r="AH184" s="82" t="s">
        <v>186</v>
      </c>
      <c r="AI184" s="82" t="s">
        <v>236</v>
      </c>
      <c r="AJ184" s="82">
        <v>10000000031</v>
      </c>
    </row>
    <row r="185" spans="2:36" ht="15.6" x14ac:dyDescent="0.3">
      <c r="B185" s="88">
        <v>32</v>
      </c>
      <c r="C185" s="76" t="s">
        <v>127</v>
      </c>
      <c r="D185" s="88" t="s">
        <v>103</v>
      </c>
      <c r="E185" s="88"/>
      <c r="F185" s="76"/>
      <c r="G185" s="76"/>
      <c r="H185" s="76"/>
      <c r="I185" s="89" t="s">
        <v>296</v>
      </c>
      <c r="J185" s="89">
        <v>2021</v>
      </c>
      <c r="K185" s="76">
        <v>26</v>
      </c>
      <c r="L185" s="76">
        <v>2</v>
      </c>
      <c r="M185" s="76">
        <v>2</v>
      </c>
      <c r="N185" s="76">
        <v>26</v>
      </c>
      <c r="O185" s="77"/>
      <c r="P185" s="77">
        <v>0</v>
      </c>
      <c r="Q185" s="77">
        <v>0</v>
      </c>
      <c r="R185" s="77">
        <v>0</v>
      </c>
      <c r="S185" s="77">
        <v>0</v>
      </c>
      <c r="T185" s="77">
        <v>0</v>
      </c>
      <c r="U185" s="77">
        <v>0</v>
      </c>
      <c r="V185" s="77">
        <v>0</v>
      </c>
      <c r="W185" s="77">
        <v>0</v>
      </c>
      <c r="X185" s="77">
        <v>0</v>
      </c>
      <c r="Y185" s="77">
        <v>0</v>
      </c>
      <c r="Z185" s="77">
        <v>0</v>
      </c>
      <c r="AA185" s="78">
        <v>0.1</v>
      </c>
      <c r="AB185" s="77">
        <v>0</v>
      </c>
      <c r="AC185" s="77">
        <v>0</v>
      </c>
      <c r="AD185" s="77">
        <v>0</v>
      </c>
      <c r="AE185" s="77">
        <v>0</v>
      </c>
      <c r="AF185" s="77">
        <v>0</v>
      </c>
      <c r="AG185" s="79">
        <v>0</v>
      </c>
      <c r="AH185" s="82" t="s">
        <v>187</v>
      </c>
      <c r="AI185" s="82" t="s">
        <v>237</v>
      </c>
      <c r="AJ185" s="82">
        <v>10000000032</v>
      </c>
    </row>
    <row r="186" spans="2:36" ht="15.6" x14ac:dyDescent="0.3">
      <c r="B186" s="88">
        <v>33</v>
      </c>
      <c r="C186" s="76" t="s">
        <v>128</v>
      </c>
      <c r="D186" s="88" t="s">
        <v>104</v>
      </c>
      <c r="E186" s="88"/>
      <c r="F186" s="76"/>
      <c r="G186" s="76"/>
      <c r="H186" s="76"/>
      <c r="I186" s="89" t="s">
        <v>296</v>
      </c>
      <c r="J186" s="89">
        <v>2021</v>
      </c>
      <c r="K186" s="76">
        <v>26</v>
      </c>
      <c r="L186" s="76">
        <v>2</v>
      </c>
      <c r="M186" s="76">
        <v>0</v>
      </c>
      <c r="N186" s="76">
        <v>26</v>
      </c>
      <c r="O186" s="77"/>
      <c r="P186" s="77">
        <v>0</v>
      </c>
      <c r="Q186" s="77">
        <v>0</v>
      </c>
      <c r="R186" s="77">
        <v>0</v>
      </c>
      <c r="S186" s="77">
        <v>0</v>
      </c>
      <c r="T186" s="77">
        <v>0</v>
      </c>
      <c r="U186" s="77">
        <v>0</v>
      </c>
      <c r="V186" s="77">
        <v>0</v>
      </c>
      <c r="W186" s="77">
        <v>0</v>
      </c>
      <c r="X186" s="77">
        <v>0</v>
      </c>
      <c r="Y186" s="77">
        <v>0</v>
      </c>
      <c r="Z186" s="77">
        <v>0</v>
      </c>
      <c r="AA186" s="78">
        <v>0.1</v>
      </c>
      <c r="AB186" s="77">
        <v>0</v>
      </c>
      <c r="AC186" s="77">
        <v>0</v>
      </c>
      <c r="AD186" s="77">
        <v>0</v>
      </c>
      <c r="AE186" s="77">
        <v>0</v>
      </c>
      <c r="AF186" s="77">
        <v>0</v>
      </c>
      <c r="AG186" s="79">
        <v>0</v>
      </c>
      <c r="AH186" s="82" t="s">
        <v>188</v>
      </c>
      <c r="AI186" s="82" t="s">
        <v>238</v>
      </c>
      <c r="AJ186" s="82">
        <v>10000000033</v>
      </c>
    </row>
    <row r="187" spans="2:36" ht="15.6" x14ac:dyDescent="0.3">
      <c r="B187" s="88">
        <v>34</v>
      </c>
      <c r="C187" s="76" t="s">
        <v>129</v>
      </c>
      <c r="D187" s="88" t="s">
        <v>105</v>
      </c>
      <c r="E187" s="88"/>
      <c r="F187" s="76"/>
      <c r="G187" s="76"/>
      <c r="H187" s="76"/>
      <c r="I187" s="89" t="s">
        <v>296</v>
      </c>
      <c r="J187" s="89">
        <v>2021</v>
      </c>
      <c r="K187" s="76">
        <v>26</v>
      </c>
      <c r="L187" s="76">
        <v>2</v>
      </c>
      <c r="M187" s="76">
        <v>4</v>
      </c>
      <c r="N187" s="76">
        <v>24</v>
      </c>
      <c r="O187" s="77"/>
      <c r="P187" s="77">
        <v>0</v>
      </c>
      <c r="Q187" s="77">
        <v>0</v>
      </c>
      <c r="R187" s="77">
        <v>0</v>
      </c>
      <c r="S187" s="77">
        <v>0</v>
      </c>
      <c r="T187" s="77">
        <v>0</v>
      </c>
      <c r="U187" s="77">
        <v>0</v>
      </c>
      <c r="V187" s="77">
        <v>0</v>
      </c>
      <c r="W187" s="77">
        <v>0</v>
      </c>
      <c r="X187" s="77">
        <v>0</v>
      </c>
      <c r="Y187" s="77">
        <v>0</v>
      </c>
      <c r="Z187" s="77">
        <v>0</v>
      </c>
      <c r="AA187" s="78">
        <v>0.1</v>
      </c>
      <c r="AB187" s="77">
        <v>0</v>
      </c>
      <c r="AC187" s="77">
        <v>0</v>
      </c>
      <c r="AD187" s="77">
        <v>0</v>
      </c>
      <c r="AE187" s="77">
        <v>0</v>
      </c>
      <c r="AF187" s="77">
        <v>0</v>
      </c>
      <c r="AG187" s="79">
        <v>0</v>
      </c>
      <c r="AH187" s="82" t="s">
        <v>189</v>
      </c>
      <c r="AI187" s="82" t="s">
        <v>239</v>
      </c>
      <c r="AJ187" s="82">
        <v>10000000034</v>
      </c>
    </row>
    <row r="188" spans="2:36" ht="15.6" x14ac:dyDescent="0.3">
      <c r="B188" s="88">
        <v>35</v>
      </c>
      <c r="C188" s="76" t="s">
        <v>130</v>
      </c>
      <c r="D188" s="88" t="s">
        <v>106</v>
      </c>
      <c r="E188" s="88"/>
      <c r="F188" s="76"/>
      <c r="G188" s="76"/>
      <c r="H188" s="76"/>
      <c r="I188" s="89" t="s">
        <v>296</v>
      </c>
      <c r="J188" s="89">
        <v>2021</v>
      </c>
      <c r="K188" s="76">
        <v>26</v>
      </c>
      <c r="L188" s="76">
        <v>2</v>
      </c>
      <c r="M188" s="76">
        <v>0</v>
      </c>
      <c r="N188" s="76">
        <v>26</v>
      </c>
      <c r="O188" s="77"/>
      <c r="P188" s="77">
        <v>0</v>
      </c>
      <c r="Q188" s="77">
        <v>0</v>
      </c>
      <c r="R188" s="77">
        <v>0</v>
      </c>
      <c r="S188" s="77">
        <v>0</v>
      </c>
      <c r="T188" s="77">
        <v>0</v>
      </c>
      <c r="U188" s="77">
        <v>0</v>
      </c>
      <c r="V188" s="77">
        <v>0</v>
      </c>
      <c r="W188" s="77">
        <v>0</v>
      </c>
      <c r="X188" s="77">
        <v>0</v>
      </c>
      <c r="Y188" s="77">
        <v>0</v>
      </c>
      <c r="Z188" s="77">
        <v>0</v>
      </c>
      <c r="AA188" s="78">
        <v>0.1</v>
      </c>
      <c r="AB188" s="77">
        <v>0</v>
      </c>
      <c r="AC188" s="77">
        <v>0</v>
      </c>
      <c r="AD188" s="77">
        <v>0</v>
      </c>
      <c r="AE188" s="77">
        <v>0</v>
      </c>
      <c r="AF188" s="77">
        <v>0</v>
      </c>
      <c r="AG188" s="79">
        <v>0</v>
      </c>
      <c r="AH188" s="82" t="s">
        <v>190</v>
      </c>
      <c r="AI188" s="82" t="s">
        <v>240</v>
      </c>
      <c r="AJ188" s="82">
        <v>10000000035</v>
      </c>
    </row>
    <row r="189" spans="2:36" ht="15.6" x14ac:dyDescent="0.3">
      <c r="B189" s="88">
        <v>36</v>
      </c>
      <c r="C189" s="76" t="s">
        <v>131</v>
      </c>
      <c r="D189" s="88" t="s">
        <v>107</v>
      </c>
      <c r="E189" s="88"/>
      <c r="F189" s="76"/>
      <c r="G189" s="76"/>
      <c r="H189" s="76"/>
      <c r="I189" s="89" t="s">
        <v>296</v>
      </c>
      <c r="J189" s="89">
        <v>2021</v>
      </c>
      <c r="K189" s="76">
        <v>26</v>
      </c>
      <c r="L189" s="76">
        <v>2</v>
      </c>
      <c r="M189" s="76">
        <v>0</v>
      </c>
      <c r="N189" s="76">
        <v>26</v>
      </c>
      <c r="O189" s="77"/>
      <c r="P189" s="77">
        <v>0</v>
      </c>
      <c r="Q189" s="77">
        <v>0</v>
      </c>
      <c r="R189" s="77">
        <v>0</v>
      </c>
      <c r="S189" s="77">
        <v>0</v>
      </c>
      <c r="T189" s="77">
        <v>0</v>
      </c>
      <c r="U189" s="77">
        <v>0</v>
      </c>
      <c r="V189" s="77">
        <v>0</v>
      </c>
      <c r="W189" s="77">
        <v>0</v>
      </c>
      <c r="X189" s="77">
        <v>0</v>
      </c>
      <c r="Y189" s="77">
        <v>0</v>
      </c>
      <c r="Z189" s="77">
        <v>0</v>
      </c>
      <c r="AA189" s="78">
        <v>0.1</v>
      </c>
      <c r="AB189" s="77">
        <v>0</v>
      </c>
      <c r="AC189" s="77">
        <v>0</v>
      </c>
      <c r="AD189" s="77">
        <v>0</v>
      </c>
      <c r="AE189" s="77">
        <v>0</v>
      </c>
      <c r="AF189" s="77">
        <v>0</v>
      </c>
      <c r="AG189" s="79">
        <v>0</v>
      </c>
      <c r="AH189" s="82" t="s">
        <v>191</v>
      </c>
      <c r="AI189" s="82" t="s">
        <v>241</v>
      </c>
      <c r="AJ189" s="82">
        <v>10000000036</v>
      </c>
    </row>
    <row r="190" spans="2:36" ht="15.6" x14ac:dyDescent="0.3">
      <c r="B190" s="88">
        <v>37</v>
      </c>
      <c r="C190" s="76" t="s">
        <v>132</v>
      </c>
      <c r="D190" s="88" t="s">
        <v>108</v>
      </c>
      <c r="E190" s="88"/>
      <c r="F190" s="76"/>
      <c r="G190" s="76"/>
      <c r="H190" s="76"/>
      <c r="I190" s="89" t="s">
        <v>296</v>
      </c>
      <c r="J190" s="89">
        <v>2021</v>
      </c>
      <c r="K190" s="76">
        <v>26</v>
      </c>
      <c r="L190" s="76">
        <v>2</v>
      </c>
      <c r="M190" s="76">
        <v>2</v>
      </c>
      <c r="N190" s="76">
        <v>26</v>
      </c>
      <c r="O190" s="77"/>
      <c r="P190" s="77">
        <v>0</v>
      </c>
      <c r="Q190" s="77">
        <v>0</v>
      </c>
      <c r="R190" s="77">
        <v>0</v>
      </c>
      <c r="S190" s="77">
        <v>0</v>
      </c>
      <c r="T190" s="77">
        <v>0</v>
      </c>
      <c r="U190" s="77">
        <v>0</v>
      </c>
      <c r="V190" s="77">
        <v>0</v>
      </c>
      <c r="W190" s="77">
        <v>0</v>
      </c>
      <c r="X190" s="77">
        <v>0</v>
      </c>
      <c r="Y190" s="77">
        <v>0</v>
      </c>
      <c r="Z190" s="77">
        <v>0</v>
      </c>
      <c r="AA190" s="78">
        <v>0.1</v>
      </c>
      <c r="AB190" s="77">
        <v>0</v>
      </c>
      <c r="AC190" s="77">
        <v>0</v>
      </c>
      <c r="AD190" s="77">
        <v>0</v>
      </c>
      <c r="AE190" s="77">
        <v>0</v>
      </c>
      <c r="AF190" s="77">
        <v>0</v>
      </c>
      <c r="AG190" s="79">
        <v>0</v>
      </c>
      <c r="AH190" s="82" t="s">
        <v>192</v>
      </c>
      <c r="AI190" s="82" t="s">
        <v>242</v>
      </c>
      <c r="AJ190" s="82">
        <v>10000000037</v>
      </c>
    </row>
    <row r="191" spans="2:36" ht="15.6" x14ac:dyDescent="0.3">
      <c r="B191" s="88">
        <v>38</v>
      </c>
      <c r="C191" s="76" t="s">
        <v>133</v>
      </c>
      <c r="D191" s="88" t="s">
        <v>109</v>
      </c>
      <c r="E191" s="88"/>
      <c r="F191" s="76"/>
      <c r="G191" s="76"/>
      <c r="H191" s="76"/>
      <c r="I191" s="89" t="s">
        <v>296</v>
      </c>
      <c r="J191" s="89">
        <v>2021</v>
      </c>
      <c r="K191" s="76">
        <v>26</v>
      </c>
      <c r="L191" s="76">
        <v>2</v>
      </c>
      <c r="M191" s="76">
        <v>0</v>
      </c>
      <c r="N191" s="76">
        <v>26</v>
      </c>
      <c r="O191" s="77"/>
      <c r="P191" s="77">
        <v>0</v>
      </c>
      <c r="Q191" s="77">
        <v>0</v>
      </c>
      <c r="R191" s="77">
        <v>0</v>
      </c>
      <c r="S191" s="77">
        <v>0</v>
      </c>
      <c r="T191" s="77">
        <v>0</v>
      </c>
      <c r="U191" s="77">
        <v>0</v>
      </c>
      <c r="V191" s="77">
        <v>0</v>
      </c>
      <c r="W191" s="77">
        <v>0</v>
      </c>
      <c r="X191" s="77">
        <v>0</v>
      </c>
      <c r="Y191" s="77">
        <v>0</v>
      </c>
      <c r="Z191" s="77">
        <v>0</v>
      </c>
      <c r="AA191" s="78">
        <v>0.1</v>
      </c>
      <c r="AB191" s="77">
        <v>0</v>
      </c>
      <c r="AC191" s="77">
        <v>0</v>
      </c>
      <c r="AD191" s="77">
        <v>0</v>
      </c>
      <c r="AE191" s="77">
        <v>0</v>
      </c>
      <c r="AF191" s="77">
        <v>0</v>
      </c>
      <c r="AG191" s="79">
        <v>0</v>
      </c>
      <c r="AH191" s="82" t="s">
        <v>193</v>
      </c>
      <c r="AI191" s="82" t="s">
        <v>243</v>
      </c>
      <c r="AJ191" s="82">
        <v>10000000038</v>
      </c>
    </row>
    <row r="192" spans="2:36" ht="15.6" x14ac:dyDescent="0.3">
      <c r="B192" s="88">
        <v>39</v>
      </c>
      <c r="C192" s="76" t="s">
        <v>134</v>
      </c>
      <c r="D192" s="88" t="s">
        <v>110</v>
      </c>
      <c r="E192" s="88"/>
      <c r="F192" s="76"/>
      <c r="G192" s="76"/>
      <c r="H192" s="76"/>
      <c r="I192" s="89" t="s">
        <v>296</v>
      </c>
      <c r="J192" s="89">
        <v>2021</v>
      </c>
      <c r="K192" s="76">
        <v>26</v>
      </c>
      <c r="L192" s="76">
        <v>2</v>
      </c>
      <c r="M192" s="76">
        <v>0</v>
      </c>
      <c r="N192" s="76">
        <v>26</v>
      </c>
      <c r="O192" s="77"/>
      <c r="P192" s="77">
        <v>0</v>
      </c>
      <c r="Q192" s="77">
        <v>0</v>
      </c>
      <c r="R192" s="77">
        <v>0</v>
      </c>
      <c r="S192" s="77">
        <v>0</v>
      </c>
      <c r="T192" s="77">
        <v>0</v>
      </c>
      <c r="U192" s="77">
        <v>0</v>
      </c>
      <c r="V192" s="77">
        <v>0</v>
      </c>
      <c r="W192" s="77">
        <v>0</v>
      </c>
      <c r="X192" s="77">
        <v>0</v>
      </c>
      <c r="Y192" s="77">
        <v>0</v>
      </c>
      <c r="Z192" s="77">
        <v>0</v>
      </c>
      <c r="AA192" s="78">
        <v>0.1</v>
      </c>
      <c r="AB192" s="77">
        <v>0</v>
      </c>
      <c r="AC192" s="77">
        <v>0</v>
      </c>
      <c r="AD192" s="77">
        <v>0</v>
      </c>
      <c r="AE192" s="77">
        <v>0</v>
      </c>
      <c r="AF192" s="77">
        <v>0</v>
      </c>
      <c r="AG192" s="79">
        <v>0</v>
      </c>
      <c r="AH192" s="82" t="s">
        <v>194</v>
      </c>
      <c r="AI192" s="82" t="s">
        <v>244</v>
      </c>
      <c r="AJ192" s="82">
        <v>10000000039</v>
      </c>
    </row>
    <row r="193" spans="2:36" ht="15.6" x14ac:dyDescent="0.3">
      <c r="B193" s="88">
        <v>40</v>
      </c>
      <c r="C193" s="76" t="s">
        <v>135</v>
      </c>
      <c r="D193" s="88" t="s">
        <v>111</v>
      </c>
      <c r="E193" s="88"/>
      <c r="F193" s="76"/>
      <c r="G193" s="76"/>
      <c r="H193" s="76"/>
      <c r="I193" s="89" t="s">
        <v>296</v>
      </c>
      <c r="J193" s="89">
        <v>2021</v>
      </c>
      <c r="K193" s="76">
        <v>26</v>
      </c>
      <c r="L193" s="76">
        <v>2</v>
      </c>
      <c r="M193" s="76">
        <v>0</v>
      </c>
      <c r="N193" s="76">
        <v>26</v>
      </c>
      <c r="O193" s="77"/>
      <c r="P193" s="77">
        <v>0</v>
      </c>
      <c r="Q193" s="77">
        <v>0</v>
      </c>
      <c r="R193" s="77">
        <v>0</v>
      </c>
      <c r="S193" s="77">
        <v>0</v>
      </c>
      <c r="T193" s="77">
        <v>0</v>
      </c>
      <c r="U193" s="77">
        <v>0</v>
      </c>
      <c r="V193" s="77">
        <v>0</v>
      </c>
      <c r="W193" s="77">
        <v>0</v>
      </c>
      <c r="X193" s="77">
        <v>0</v>
      </c>
      <c r="Y193" s="77">
        <v>0</v>
      </c>
      <c r="Z193" s="77">
        <v>0</v>
      </c>
      <c r="AA193" s="78">
        <v>0.1</v>
      </c>
      <c r="AB193" s="77">
        <v>0</v>
      </c>
      <c r="AC193" s="77">
        <v>0</v>
      </c>
      <c r="AD193" s="77">
        <v>0</v>
      </c>
      <c r="AE193" s="77">
        <v>0</v>
      </c>
      <c r="AF193" s="77">
        <v>0</v>
      </c>
      <c r="AG193" s="79">
        <v>0</v>
      </c>
      <c r="AH193" s="82" t="s">
        <v>195</v>
      </c>
      <c r="AI193" s="82" t="s">
        <v>245</v>
      </c>
      <c r="AJ193" s="82">
        <v>10000000040</v>
      </c>
    </row>
    <row r="194" spans="2:36" ht="15.6" x14ac:dyDescent="0.3">
      <c r="B194" s="88">
        <v>41</v>
      </c>
      <c r="C194" s="76" t="s">
        <v>136</v>
      </c>
      <c r="D194" s="88" t="s">
        <v>112</v>
      </c>
      <c r="E194" s="88"/>
      <c r="F194" s="76"/>
      <c r="G194" s="76"/>
      <c r="H194" s="76"/>
      <c r="I194" s="89" t="s">
        <v>296</v>
      </c>
      <c r="J194" s="89">
        <v>2021</v>
      </c>
      <c r="K194" s="76">
        <v>26</v>
      </c>
      <c r="L194" s="76">
        <v>2</v>
      </c>
      <c r="M194" s="76">
        <v>0</v>
      </c>
      <c r="N194" s="76">
        <v>26</v>
      </c>
      <c r="O194" s="77"/>
      <c r="P194" s="77">
        <v>0</v>
      </c>
      <c r="Q194" s="77">
        <v>0</v>
      </c>
      <c r="R194" s="77">
        <v>0</v>
      </c>
      <c r="S194" s="77">
        <v>0</v>
      </c>
      <c r="T194" s="77">
        <v>0</v>
      </c>
      <c r="U194" s="77">
        <v>0</v>
      </c>
      <c r="V194" s="77">
        <v>0</v>
      </c>
      <c r="W194" s="77">
        <v>0</v>
      </c>
      <c r="X194" s="77">
        <v>0</v>
      </c>
      <c r="Y194" s="77">
        <v>0</v>
      </c>
      <c r="Z194" s="77">
        <v>0</v>
      </c>
      <c r="AA194" s="78">
        <v>0.1</v>
      </c>
      <c r="AB194" s="77">
        <v>0</v>
      </c>
      <c r="AC194" s="77">
        <v>0</v>
      </c>
      <c r="AD194" s="77">
        <v>0</v>
      </c>
      <c r="AE194" s="77">
        <v>0</v>
      </c>
      <c r="AF194" s="77">
        <v>0</v>
      </c>
      <c r="AG194" s="79">
        <v>0</v>
      </c>
      <c r="AH194" s="82" t="s">
        <v>196</v>
      </c>
      <c r="AI194" s="82" t="s">
        <v>246</v>
      </c>
      <c r="AJ194" s="82">
        <v>10000000041</v>
      </c>
    </row>
    <row r="195" spans="2:36" ht="15.6" x14ac:dyDescent="0.3">
      <c r="B195" s="88">
        <v>42</v>
      </c>
      <c r="C195" s="76" t="s">
        <v>137</v>
      </c>
      <c r="D195" s="88" t="s">
        <v>113</v>
      </c>
      <c r="E195" s="88"/>
      <c r="F195" s="76"/>
      <c r="G195" s="76"/>
      <c r="H195" s="76"/>
      <c r="I195" s="89" t="s">
        <v>296</v>
      </c>
      <c r="J195" s="89">
        <v>2021</v>
      </c>
      <c r="K195" s="76">
        <v>26</v>
      </c>
      <c r="L195" s="76">
        <v>2</v>
      </c>
      <c r="M195" s="76">
        <v>0</v>
      </c>
      <c r="N195" s="76">
        <v>26</v>
      </c>
      <c r="O195" s="77"/>
      <c r="P195" s="77">
        <v>0</v>
      </c>
      <c r="Q195" s="77">
        <v>0</v>
      </c>
      <c r="R195" s="77">
        <v>0</v>
      </c>
      <c r="S195" s="77">
        <v>0</v>
      </c>
      <c r="T195" s="77">
        <v>0</v>
      </c>
      <c r="U195" s="77">
        <v>0</v>
      </c>
      <c r="V195" s="77">
        <v>0</v>
      </c>
      <c r="W195" s="77">
        <v>0</v>
      </c>
      <c r="X195" s="77">
        <v>0</v>
      </c>
      <c r="Y195" s="77">
        <v>0</v>
      </c>
      <c r="Z195" s="77">
        <v>0</v>
      </c>
      <c r="AA195" s="78">
        <v>0.1</v>
      </c>
      <c r="AB195" s="77">
        <v>0</v>
      </c>
      <c r="AC195" s="77">
        <v>0</v>
      </c>
      <c r="AD195" s="77">
        <v>0</v>
      </c>
      <c r="AE195" s="77">
        <v>0</v>
      </c>
      <c r="AF195" s="77">
        <v>0</v>
      </c>
      <c r="AG195" s="79">
        <v>0</v>
      </c>
      <c r="AH195" s="82" t="s">
        <v>197</v>
      </c>
      <c r="AI195" s="82" t="s">
        <v>247</v>
      </c>
      <c r="AJ195" s="82">
        <v>10000000042</v>
      </c>
    </row>
    <row r="196" spans="2:36" ht="15.6" x14ac:dyDescent="0.3">
      <c r="B196" s="88">
        <v>43</v>
      </c>
      <c r="C196" s="76" t="s">
        <v>138</v>
      </c>
      <c r="D196" s="88" t="s">
        <v>114</v>
      </c>
      <c r="E196" s="88"/>
      <c r="F196" s="76"/>
      <c r="G196" s="76"/>
      <c r="H196" s="76"/>
      <c r="I196" s="89" t="s">
        <v>296</v>
      </c>
      <c r="J196" s="89">
        <v>2021</v>
      </c>
      <c r="K196" s="76">
        <v>26</v>
      </c>
      <c r="L196" s="76">
        <v>2</v>
      </c>
      <c r="M196" s="76">
        <v>0</v>
      </c>
      <c r="N196" s="76">
        <v>26</v>
      </c>
      <c r="O196" s="77"/>
      <c r="P196" s="77">
        <v>0</v>
      </c>
      <c r="Q196" s="77">
        <v>0</v>
      </c>
      <c r="R196" s="77">
        <v>0</v>
      </c>
      <c r="S196" s="77">
        <v>0</v>
      </c>
      <c r="T196" s="77">
        <v>0</v>
      </c>
      <c r="U196" s="77">
        <v>0</v>
      </c>
      <c r="V196" s="77">
        <v>0</v>
      </c>
      <c r="W196" s="77">
        <v>0</v>
      </c>
      <c r="X196" s="77">
        <v>0</v>
      </c>
      <c r="Y196" s="77">
        <v>0</v>
      </c>
      <c r="Z196" s="77">
        <v>0</v>
      </c>
      <c r="AA196" s="78">
        <v>0.1</v>
      </c>
      <c r="AB196" s="77">
        <v>0</v>
      </c>
      <c r="AC196" s="77">
        <v>0</v>
      </c>
      <c r="AD196" s="77">
        <v>0</v>
      </c>
      <c r="AE196" s="77">
        <v>0</v>
      </c>
      <c r="AF196" s="77">
        <v>0</v>
      </c>
      <c r="AG196" s="79">
        <v>0</v>
      </c>
      <c r="AH196" s="82" t="s">
        <v>198</v>
      </c>
      <c r="AI196" s="82" t="s">
        <v>248</v>
      </c>
      <c r="AJ196" s="82">
        <v>10000000043</v>
      </c>
    </row>
    <row r="197" spans="2:36" ht="15.6" x14ac:dyDescent="0.3">
      <c r="B197" s="88">
        <v>44</v>
      </c>
      <c r="C197" s="76" t="s">
        <v>139</v>
      </c>
      <c r="D197" s="88" t="s">
        <v>115</v>
      </c>
      <c r="E197" s="88"/>
      <c r="F197" s="76"/>
      <c r="G197" s="76"/>
      <c r="H197" s="76"/>
      <c r="I197" s="89" t="s">
        <v>296</v>
      </c>
      <c r="J197" s="89">
        <v>2021</v>
      </c>
      <c r="K197" s="76">
        <v>26</v>
      </c>
      <c r="L197" s="76">
        <v>2</v>
      </c>
      <c r="M197" s="76">
        <v>4</v>
      </c>
      <c r="N197" s="76">
        <v>24</v>
      </c>
      <c r="O197" s="77"/>
      <c r="P197" s="77">
        <v>0</v>
      </c>
      <c r="Q197" s="77">
        <v>0</v>
      </c>
      <c r="R197" s="77">
        <v>0</v>
      </c>
      <c r="S197" s="77">
        <v>0</v>
      </c>
      <c r="T197" s="77">
        <v>0</v>
      </c>
      <c r="U197" s="77">
        <v>0</v>
      </c>
      <c r="V197" s="77">
        <v>0</v>
      </c>
      <c r="W197" s="77">
        <v>0</v>
      </c>
      <c r="X197" s="77">
        <v>0</v>
      </c>
      <c r="Y197" s="77">
        <v>0</v>
      </c>
      <c r="Z197" s="77">
        <v>0</v>
      </c>
      <c r="AA197" s="78">
        <v>0.1</v>
      </c>
      <c r="AB197" s="77">
        <v>0</v>
      </c>
      <c r="AC197" s="77">
        <v>0</v>
      </c>
      <c r="AD197" s="77">
        <v>0</v>
      </c>
      <c r="AE197" s="77">
        <v>0</v>
      </c>
      <c r="AF197" s="77">
        <v>0</v>
      </c>
      <c r="AG197" s="79">
        <v>0</v>
      </c>
      <c r="AH197" s="82" t="s">
        <v>199</v>
      </c>
      <c r="AI197" s="82" t="s">
        <v>249</v>
      </c>
      <c r="AJ197" s="82">
        <v>10000000044</v>
      </c>
    </row>
    <row r="198" spans="2:36" ht="15.6" x14ac:dyDescent="0.3">
      <c r="B198" s="88">
        <v>45</v>
      </c>
      <c r="C198" s="76" t="s">
        <v>140</v>
      </c>
      <c r="D198" s="88" t="s">
        <v>119</v>
      </c>
      <c r="E198" s="88"/>
      <c r="F198" s="76"/>
      <c r="G198" s="76"/>
      <c r="H198" s="76"/>
      <c r="I198" s="89" t="s">
        <v>296</v>
      </c>
      <c r="J198" s="89">
        <v>2021</v>
      </c>
      <c r="K198" s="76">
        <v>26</v>
      </c>
      <c r="L198" s="76">
        <v>2</v>
      </c>
      <c r="M198" s="76">
        <v>0</v>
      </c>
      <c r="N198" s="76">
        <v>26</v>
      </c>
      <c r="O198" s="77"/>
      <c r="P198" s="77">
        <v>0</v>
      </c>
      <c r="Q198" s="77">
        <v>0</v>
      </c>
      <c r="R198" s="77">
        <v>0</v>
      </c>
      <c r="S198" s="77">
        <v>0</v>
      </c>
      <c r="T198" s="77">
        <v>0</v>
      </c>
      <c r="U198" s="77">
        <v>0</v>
      </c>
      <c r="V198" s="77">
        <v>0</v>
      </c>
      <c r="W198" s="77">
        <v>0</v>
      </c>
      <c r="X198" s="77">
        <v>0</v>
      </c>
      <c r="Y198" s="77">
        <v>0</v>
      </c>
      <c r="Z198" s="77">
        <v>0</v>
      </c>
      <c r="AA198" s="78">
        <v>0.1</v>
      </c>
      <c r="AB198" s="77">
        <v>0</v>
      </c>
      <c r="AC198" s="77">
        <v>0</v>
      </c>
      <c r="AD198" s="77">
        <v>0</v>
      </c>
      <c r="AE198" s="77">
        <v>0</v>
      </c>
      <c r="AF198" s="77">
        <v>0</v>
      </c>
      <c r="AG198" s="79">
        <v>0</v>
      </c>
      <c r="AH198" s="82" t="s">
        <v>200</v>
      </c>
      <c r="AI198" s="82" t="s">
        <v>250</v>
      </c>
      <c r="AJ198" s="82">
        <v>10000000045</v>
      </c>
    </row>
    <row r="199" spans="2:36" ht="15.6" x14ac:dyDescent="0.3">
      <c r="B199" s="88">
        <v>46</v>
      </c>
      <c r="C199" s="76" t="s">
        <v>141</v>
      </c>
      <c r="D199" s="88" t="s">
        <v>116</v>
      </c>
      <c r="E199" s="88"/>
      <c r="F199" s="76"/>
      <c r="G199" s="76"/>
      <c r="H199" s="76"/>
      <c r="I199" s="89" t="s">
        <v>296</v>
      </c>
      <c r="J199" s="89">
        <v>2021</v>
      </c>
      <c r="K199" s="76">
        <v>26</v>
      </c>
      <c r="L199" s="76">
        <v>2</v>
      </c>
      <c r="M199" s="76">
        <v>0</v>
      </c>
      <c r="N199" s="76">
        <v>26</v>
      </c>
      <c r="O199" s="77"/>
      <c r="P199" s="77">
        <v>0</v>
      </c>
      <c r="Q199" s="77">
        <v>0</v>
      </c>
      <c r="R199" s="77">
        <v>0</v>
      </c>
      <c r="S199" s="77">
        <v>0</v>
      </c>
      <c r="T199" s="77">
        <v>0</v>
      </c>
      <c r="U199" s="77">
        <v>0</v>
      </c>
      <c r="V199" s="77">
        <v>0</v>
      </c>
      <c r="W199" s="77">
        <v>0</v>
      </c>
      <c r="X199" s="77">
        <v>0</v>
      </c>
      <c r="Y199" s="77">
        <v>0</v>
      </c>
      <c r="Z199" s="77">
        <v>0</v>
      </c>
      <c r="AA199" s="78">
        <v>0.1</v>
      </c>
      <c r="AB199" s="77">
        <v>0</v>
      </c>
      <c r="AC199" s="77">
        <v>0</v>
      </c>
      <c r="AD199" s="77">
        <v>0</v>
      </c>
      <c r="AE199" s="77">
        <v>0</v>
      </c>
      <c r="AF199" s="77">
        <v>0</v>
      </c>
      <c r="AG199" s="79">
        <v>0</v>
      </c>
      <c r="AH199" s="82" t="s">
        <v>201</v>
      </c>
      <c r="AI199" s="82" t="s">
        <v>251</v>
      </c>
      <c r="AJ199" s="82">
        <v>10000000046</v>
      </c>
    </row>
    <row r="200" spans="2:36" ht="15.6" x14ac:dyDescent="0.3">
      <c r="B200" s="88">
        <v>47</v>
      </c>
      <c r="C200" s="76" t="s">
        <v>142</v>
      </c>
      <c r="D200" s="88" t="s">
        <v>117</v>
      </c>
      <c r="E200" s="88"/>
      <c r="F200" s="76"/>
      <c r="G200" s="76"/>
      <c r="H200" s="76"/>
      <c r="I200" s="89" t="s">
        <v>296</v>
      </c>
      <c r="J200" s="89">
        <v>2021</v>
      </c>
      <c r="K200" s="76">
        <v>26</v>
      </c>
      <c r="L200" s="76">
        <v>2</v>
      </c>
      <c r="M200" s="76">
        <v>2</v>
      </c>
      <c r="N200" s="76">
        <v>26</v>
      </c>
      <c r="O200" s="77"/>
      <c r="P200" s="77">
        <v>0</v>
      </c>
      <c r="Q200" s="77">
        <v>0</v>
      </c>
      <c r="R200" s="77">
        <v>0</v>
      </c>
      <c r="S200" s="77">
        <v>0</v>
      </c>
      <c r="T200" s="77">
        <v>0</v>
      </c>
      <c r="U200" s="77">
        <v>0</v>
      </c>
      <c r="V200" s="77">
        <v>0</v>
      </c>
      <c r="W200" s="77">
        <v>0</v>
      </c>
      <c r="X200" s="77">
        <v>0</v>
      </c>
      <c r="Y200" s="77">
        <v>0</v>
      </c>
      <c r="Z200" s="77">
        <v>0</v>
      </c>
      <c r="AA200" s="78">
        <v>0.1</v>
      </c>
      <c r="AB200" s="77">
        <v>0</v>
      </c>
      <c r="AC200" s="77">
        <v>0</v>
      </c>
      <c r="AD200" s="77">
        <v>0</v>
      </c>
      <c r="AE200" s="77">
        <v>0</v>
      </c>
      <c r="AF200" s="77">
        <v>0</v>
      </c>
      <c r="AG200" s="79">
        <v>0</v>
      </c>
      <c r="AH200" s="82" t="s">
        <v>202</v>
      </c>
      <c r="AI200" s="82" t="s">
        <v>252</v>
      </c>
      <c r="AJ200" s="82">
        <v>10000000047</v>
      </c>
    </row>
    <row r="201" spans="2:36" ht="15.6" x14ac:dyDescent="0.3">
      <c r="B201" s="88">
        <v>48</v>
      </c>
      <c r="C201" s="76" t="s">
        <v>143</v>
      </c>
      <c r="D201" s="88" t="s">
        <v>118</v>
      </c>
      <c r="E201" s="88"/>
      <c r="F201" s="76"/>
      <c r="G201" s="76"/>
      <c r="H201" s="76"/>
      <c r="I201" s="89" t="s">
        <v>296</v>
      </c>
      <c r="J201" s="89">
        <v>2021</v>
      </c>
      <c r="K201" s="76">
        <v>26</v>
      </c>
      <c r="L201" s="76">
        <v>2</v>
      </c>
      <c r="M201" s="76">
        <v>0</v>
      </c>
      <c r="N201" s="76">
        <v>26</v>
      </c>
      <c r="O201" s="77"/>
      <c r="P201" s="77">
        <v>0</v>
      </c>
      <c r="Q201" s="77">
        <v>0</v>
      </c>
      <c r="R201" s="77">
        <v>0</v>
      </c>
      <c r="S201" s="77">
        <v>0</v>
      </c>
      <c r="T201" s="77">
        <v>0</v>
      </c>
      <c r="U201" s="77">
        <v>0</v>
      </c>
      <c r="V201" s="77">
        <v>0</v>
      </c>
      <c r="W201" s="77">
        <v>0</v>
      </c>
      <c r="X201" s="77">
        <v>0</v>
      </c>
      <c r="Y201" s="77">
        <v>0</v>
      </c>
      <c r="Z201" s="77">
        <v>0</v>
      </c>
      <c r="AA201" s="78">
        <v>0.1</v>
      </c>
      <c r="AB201" s="77">
        <v>0</v>
      </c>
      <c r="AC201" s="77">
        <v>0</v>
      </c>
      <c r="AD201" s="77">
        <v>0</v>
      </c>
      <c r="AE201" s="77">
        <v>0</v>
      </c>
      <c r="AF201" s="77">
        <v>0</v>
      </c>
      <c r="AG201" s="79">
        <v>0</v>
      </c>
      <c r="AH201" s="82" t="s">
        <v>203</v>
      </c>
      <c r="AI201" s="82" t="s">
        <v>253</v>
      </c>
      <c r="AJ201" s="82">
        <v>10000000048</v>
      </c>
    </row>
    <row r="202" spans="2:36" ht="15.6" x14ac:dyDescent="0.3">
      <c r="B202" s="88">
        <v>49</v>
      </c>
      <c r="C202" s="76" t="s">
        <v>144</v>
      </c>
      <c r="D202" s="88" t="s">
        <v>120</v>
      </c>
      <c r="E202" s="88"/>
      <c r="F202" s="76"/>
      <c r="G202" s="76"/>
      <c r="H202" s="76"/>
      <c r="I202" s="89" t="s">
        <v>296</v>
      </c>
      <c r="J202" s="89">
        <v>2021</v>
      </c>
      <c r="K202" s="76">
        <v>26</v>
      </c>
      <c r="L202" s="76">
        <v>2</v>
      </c>
      <c r="M202" s="76">
        <v>0</v>
      </c>
      <c r="N202" s="76">
        <v>26</v>
      </c>
      <c r="O202" s="77"/>
      <c r="P202" s="77">
        <v>0</v>
      </c>
      <c r="Q202" s="77">
        <v>0</v>
      </c>
      <c r="R202" s="77">
        <v>0</v>
      </c>
      <c r="S202" s="77">
        <v>0</v>
      </c>
      <c r="T202" s="77">
        <v>0</v>
      </c>
      <c r="U202" s="77">
        <v>0</v>
      </c>
      <c r="V202" s="77">
        <v>0</v>
      </c>
      <c r="W202" s="77">
        <v>0</v>
      </c>
      <c r="X202" s="77">
        <v>0</v>
      </c>
      <c r="Y202" s="77">
        <v>0</v>
      </c>
      <c r="Z202" s="77">
        <v>0</v>
      </c>
      <c r="AA202" s="78">
        <v>0.1</v>
      </c>
      <c r="AB202" s="77">
        <v>0</v>
      </c>
      <c r="AC202" s="77">
        <v>0</v>
      </c>
      <c r="AD202" s="77">
        <v>0</v>
      </c>
      <c r="AE202" s="77">
        <v>0</v>
      </c>
      <c r="AF202" s="77">
        <v>0</v>
      </c>
      <c r="AG202" s="79">
        <v>0</v>
      </c>
      <c r="AH202" s="82" t="s">
        <v>204</v>
      </c>
      <c r="AI202" s="82" t="s">
        <v>254</v>
      </c>
      <c r="AJ202" s="82">
        <v>10000000049</v>
      </c>
    </row>
    <row r="203" spans="2:36" ht="15.6" x14ac:dyDescent="0.3">
      <c r="B203" s="88">
        <v>50</v>
      </c>
      <c r="C203" s="76" t="s">
        <v>145</v>
      </c>
      <c r="D203" s="88" t="s">
        <v>121</v>
      </c>
      <c r="E203" s="88"/>
      <c r="F203" s="76"/>
      <c r="G203" s="76"/>
      <c r="H203" s="76"/>
      <c r="I203" s="89" t="s">
        <v>296</v>
      </c>
      <c r="J203" s="89">
        <v>2021</v>
      </c>
      <c r="K203" s="76">
        <v>26</v>
      </c>
      <c r="L203" s="76">
        <v>2</v>
      </c>
      <c r="M203" s="76">
        <v>0</v>
      </c>
      <c r="N203" s="76">
        <v>26</v>
      </c>
      <c r="O203" s="77"/>
      <c r="P203" s="77">
        <v>0</v>
      </c>
      <c r="Q203" s="77">
        <v>0</v>
      </c>
      <c r="R203" s="77">
        <v>0</v>
      </c>
      <c r="S203" s="77">
        <v>0</v>
      </c>
      <c r="T203" s="77">
        <v>0</v>
      </c>
      <c r="U203" s="77">
        <v>0</v>
      </c>
      <c r="V203" s="77">
        <v>0</v>
      </c>
      <c r="W203" s="77">
        <v>0</v>
      </c>
      <c r="X203" s="77">
        <v>0</v>
      </c>
      <c r="Y203" s="77">
        <v>0</v>
      </c>
      <c r="Z203" s="77">
        <v>0</v>
      </c>
      <c r="AA203" s="78">
        <v>0.1</v>
      </c>
      <c r="AB203" s="77">
        <v>0</v>
      </c>
      <c r="AC203" s="77">
        <v>0</v>
      </c>
      <c r="AD203" s="77">
        <v>0</v>
      </c>
      <c r="AE203" s="77">
        <v>0</v>
      </c>
      <c r="AF203" s="77">
        <v>0</v>
      </c>
      <c r="AG203" s="79">
        <v>0</v>
      </c>
      <c r="AH203" s="82" t="s">
        <v>205</v>
      </c>
      <c r="AI203" s="82" t="s">
        <v>255</v>
      </c>
      <c r="AJ203" s="82">
        <v>10000000050</v>
      </c>
    </row>
    <row r="204" spans="2:36" ht="15.6" x14ac:dyDescent="0.3">
      <c r="B204" s="88"/>
      <c r="C204" s="76"/>
      <c r="D204" s="88"/>
      <c r="E204" s="88"/>
      <c r="F204" s="76"/>
      <c r="G204" s="76"/>
      <c r="H204" s="76"/>
      <c r="I204" s="89"/>
      <c r="J204" s="89"/>
      <c r="K204" s="76"/>
      <c r="L204" s="76"/>
      <c r="M204" s="76"/>
      <c r="N204" s="76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8"/>
      <c r="AB204" s="77"/>
      <c r="AC204" s="77"/>
      <c r="AD204" s="77"/>
      <c r="AE204" s="77"/>
      <c r="AF204" s="77"/>
      <c r="AG204" s="79"/>
      <c r="AH204" s="82" t="s">
        <v>157</v>
      </c>
      <c r="AI204" s="82" t="s">
        <v>207</v>
      </c>
      <c r="AJ204" s="82">
        <v>10000000002</v>
      </c>
    </row>
    <row r="205" spans="2:36" ht="15.6" x14ac:dyDescent="0.3">
      <c r="B205" s="88"/>
      <c r="C205" s="76"/>
      <c r="D205" s="88"/>
      <c r="E205" s="88"/>
      <c r="F205" s="76"/>
      <c r="G205" s="76"/>
      <c r="H205" s="76"/>
      <c r="I205" s="89"/>
      <c r="J205" s="89"/>
      <c r="K205" s="76"/>
      <c r="L205" s="76"/>
      <c r="M205" s="76"/>
      <c r="N205" s="76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8"/>
      <c r="AB205" s="77"/>
      <c r="AC205" s="77"/>
      <c r="AD205" s="77"/>
      <c r="AE205" s="77"/>
      <c r="AF205" s="77"/>
      <c r="AG205" s="79"/>
      <c r="AH205" s="82" t="s">
        <v>158</v>
      </c>
      <c r="AI205" s="82" t="s">
        <v>208</v>
      </c>
      <c r="AJ205" s="82">
        <v>10000000003</v>
      </c>
    </row>
    <row r="206" spans="2:36" ht="15.6" x14ac:dyDescent="0.3">
      <c r="B206" s="88"/>
      <c r="C206" s="76"/>
      <c r="D206" s="88"/>
      <c r="E206" s="88"/>
      <c r="F206" s="76"/>
      <c r="G206" s="76"/>
      <c r="H206" s="76"/>
      <c r="I206" s="89"/>
      <c r="J206" s="89"/>
      <c r="K206" s="76"/>
      <c r="L206" s="76"/>
      <c r="M206" s="76"/>
      <c r="N206" s="76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8"/>
      <c r="AB206" s="77"/>
      <c r="AC206" s="77"/>
      <c r="AD206" s="77"/>
      <c r="AE206" s="77"/>
      <c r="AF206" s="77"/>
      <c r="AG206" s="79"/>
      <c r="AH206" s="82" t="s">
        <v>159</v>
      </c>
      <c r="AI206" s="82" t="s">
        <v>209</v>
      </c>
      <c r="AJ206" s="82">
        <v>10000000004</v>
      </c>
    </row>
    <row r="207" spans="2:36" ht="15.6" x14ac:dyDescent="0.3">
      <c r="B207" s="88"/>
      <c r="C207" s="76"/>
      <c r="D207" s="88"/>
      <c r="E207" s="88"/>
      <c r="F207" s="76"/>
      <c r="G207" s="76"/>
      <c r="H207" s="76"/>
      <c r="I207" s="89"/>
      <c r="J207" s="89"/>
      <c r="K207" s="76"/>
      <c r="L207" s="76"/>
      <c r="M207" s="76"/>
      <c r="N207" s="76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8"/>
      <c r="AB207" s="77"/>
      <c r="AC207" s="77"/>
      <c r="AD207" s="77"/>
      <c r="AE207" s="77"/>
      <c r="AF207" s="77"/>
      <c r="AG207" s="79"/>
      <c r="AH207" s="82" t="s">
        <v>160</v>
      </c>
      <c r="AI207" s="82" t="s">
        <v>210</v>
      </c>
      <c r="AJ207" s="82">
        <v>10000000005</v>
      </c>
    </row>
    <row r="208" spans="2:36" ht="15.6" x14ac:dyDescent="0.3">
      <c r="B208" s="88"/>
      <c r="C208" s="76"/>
      <c r="D208" s="88"/>
      <c r="E208" s="88"/>
      <c r="F208" s="76"/>
      <c r="G208" s="76"/>
      <c r="H208" s="76"/>
      <c r="I208" s="89"/>
      <c r="J208" s="89"/>
      <c r="K208" s="76"/>
      <c r="L208" s="76"/>
      <c r="M208" s="76"/>
      <c r="N208" s="76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8"/>
      <c r="AB208" s="77"/>
      <c r="AC208" s="77"/>
      <c r="AD208" s="77"/>
      <c r="AE208" s="77"/>
      <c r="AF208" s="77"/>
      <c r="AG208" s="79"/>
      <c r="AH208" s="82" t="s">
        <v>161</v>
      </c>
      <c r="AI208" s="82" t="s">
        <v>211</v>
      </c>
      <c r="AJ208" s="82">
        <v>10000000006</v>
      </c>
    </row>
    <row r="209" spans="2:36" ht="15.6" x14ac:dyDescent="0.3">
      <c r="B209" s="88"/>
      <c r="C209" s="76"/>
      <c r="D209" s="88"/>
      <c r="E209" s="88"/>
      <c r="F209" s="76"/>
      <c r="G209" s="76"/>
      <c r="H209" s="76"/>
      <c r="I209" s="89"/>
      <c r="J209" s="89"/>
      <c r="K209" s="76"/>
      <c r="L209" s="76"/>
      <c r="M209" s="76"/>
      <c r="N209" s="76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8"/>
      <c r="AB209" s="77"/>
      <c r="AC209" s="77"/>
      <c r="AD209" s="77"/>
      <c r="AE209" s="77"/>
      <c r="AF209" s="77"/>
      <c r="AG209" s="79"/>
      <c r="AH209" s="82" t="s">
        <v>162</v>
      </c>
      <c r="AI209" s="82" t="s">
        <v>212</v>
      </c>
      <c r="AJ209" s="82">
        <v>10000000007</v>
      </c>
    </row>
    <row r="210" spans="2:36" ht="15.6" x14ac:dyDescent="0.3">
      <c r="B210" s="88"/>
      <c r="C210" s="76"/>
      <c r="D210" s="88"/>
      <c r="E210" s="88"/>
      <c r="F210" s="76"/>
      <c r="G210" s="76"/>
      <c r="H210" s="76"/>
      <c r="I210" s="89"/>
      <c r="J210" s="89"/>
      <c r="K210" s="76"/>
      <c r="L210" s="76"/>
      <c r="M210" s="76"/>
      <c r="N210" s="76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8"/>
      <c r="AB210" s="77"/>
      <c r="AC210" s="77"/>
      <c r="AD210" s="77"/>
      <c r="AE210" s="77"/>
      <c r="AF210" s="77"/>
      <c r="AG210" s="79"/>
      <c r="AH210" s="82" t="s">
        <v>163</v>
      </c>
      <c r="AI210" s="82" t="s">
        <v>213</v>
      </c>
      <c r="AJ210" s="82">
        <v>10000000008</v>
      </c>
    </row>
    <row r="211" spans="2:36" ht="15.6" x14ac:dyDescent="0.3">
      <c r="B211" s="88"/>
      <c r="C211" s="76"/>
      <c r="D211" s="88"/>
      <c r="E211" s="88"/>
      <c r="F211" s="76"/>
      <c r="G211" s="76"/>
      <c r="H211" s="76"/>
      <c r="I211" s="89"/>
      <c r="J211" s="89"/>
      <c r="K211" s="76"/>
      <c r="L211" s="76"/>
      <c r="M211" s="76"/>
      <c r="N211" s="76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8"/>
      <c r="AB211" s="77"/>
      <c r="AC211" s="77"/>
      <c r="AD211" s="77"/>
      <c r="AE211" s="77"/>
      <c r="AF211" s="77"/>
      <c r="AG211" s="79"/>
      <c r="AH211" s="82" t="s">
        <v>164</v>
      </c>
      <c r="AI211" s="82" t="s">
        <v>214</v>
      </c>
      <c r="AJ211" s="82">
        <v>10000000009</v>
      </c>
    </row>
    <row r="212" spans="2:36" ht="15.6" x14ac:dyDescent="0.3">
      <c r="B212" s="88"/>
      <c r="C212" s="76"/>
      <c r="D212" s="88"/>
      <c r="E212" s="88"/>
      <c r="F212" s="76"/>
      <c r="G212" s="76"/>
      <c r="H212" s="76"/>
      <c r="I212" s="89"/>
      <c r="J212" s="89"/>
      <c r="K212" s="76"/>
      <c r="L212" s="76"/>
      <c r="M212" s="76"/>
      <c r="N212" s="76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8"/>
      <c r="AB212" s="77"/>
      <c r="AC212" s="77"/>
      <c r="AD212" s="77"/>
      <c r="AE212" s="77"/>
      <c r="AF212" s="77"/>
      <c r="AG212" s="79"/>
      <c r="AH212" s="82" t="s">
        <v>165</v>
      </c>
      <c r="AI212" s="82" t="s">
        <v>215</v>
      </c>
      <c r="AJ212" s="82">
        <v>10000000010</v>
      </c>
    </row>
    <row r="213" spans="2:36" ht="15.6" x14ac:dyDescent="0.3">
      <c r="B213" s="88"/>
      <c r="C213" s="76"/>
      <c r="D213" s="88"/>
      <c r="E213" s="88"/>
      <c r="F213" s="76"/>
      <c r="G213" s="76"/>
      <c r="H213" s="76"/>
      <c r="I213" s="89"/>
      <c r="J213" s="89"/>
      <c r="K213" s="76"/>
      <c r="L213" s="76"/>
      <c r="M213" s="76"/>
      <c r="N213" s="76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8"/>
      <c r="AB213" s="77"/>
      <c r="AC213" s="77"/>
      <c r="AD213" s="77"/>
      <c r="AE213" s="77"/>
      <c r="AF213" s="77"/>
      <c r="AG213" s="79"/>
      <c r="AH213" s="82" t="s">
        <v>166</v>
      </c>
      <c r="AI213" s="82" t="s">
        <v>216</v>
      </c>
      <c r="AJ213" s="82">
        <v>10000000011</v>
      </c>
    </row>
    <row r="214" spans="2:36" ht="15.6" x14ac:dyDescent="0.3">
      <c r="B214" s="88"/>
      <c r="C214" s="76"/>
      <c r="D214" s="88"/>
      <c r="E214" s="88"/>
      <c r="F214" s="76"/>
      <c r="G214" s="76"/>
      <c r="H214" s="76"/>
      <c r="I214" s="89"/>
      <c r="J214" s="89"/>
      <c r="K214" s="76"/>
      <c r="L214" s="76"/>
      <c r="M214" s="76"/>
      <c r="N214" s="76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8"/>
      <c r="AB214" s="77"/>
      <c r="AC214" s="77"/>
      <c r="AD214" s="77"/>
      <c r="AE214" s="77"/>
      <c r="AF214" s="77"/>
      <c r="AG214" s="79"/>
      <c r="AH214" s="82" t="s">
        <v>167</v>
      </c>
      <c r="AI214" s="82" t="s">
        <v>217</v>
      </c>
      <c r="AJ214" s="82">
        <v>10000000012</v>
      </c>
    </row>
    <row r="215" spans="2:36" ht="15.6" x14ac:dyDescent="0.3">
      <c r="B215" s="88"/>
      <c r="C215" s="76"/>
      <c r="D215" s="88"/>
      <c r="E215" s="88"/>
      <c r="F215" s="76"/>
      <c r="G215" s="76"/>
      <c r="H215" s="76"/>
      <c r="I215" s="89"/>
      <c r="J215" s="89"/>
      <c r="K215" s="76"/>
      <c r="L215" s="76"/>
      <c r="M215" s="76"/>
      <c r="N215" s="76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8"/>
      <c r="AB215" s="77"/>
      <c r="AC215" s="77"/>
      <c r="AD215" s="77"/>
      <c r="AE215" s="77"/>
      <c r="AF215" s="77"/>
      <c r="AG215" s="79"/>
      <c r="AH215" s="82" t="s">
        <v>168</v>
      </c>
      <c r="AI215" s="82" t="s">
        <v>218</v>
      </c>
      <c r="AJ215" s="82">
        <v>10000000013</v>
      </c>
    </row>
    <row r="216" spans="2:36" ht="15.6" x14ac:dyDescent="0.3">
      <c r="B216" s="88"/>
      <c r="C216" s="76"/>
      <c r="D216" s="88"/>
      <c r="E216" s="88"/>
      <c r="F216" s="76"/>
      <c r="G216" s="76"/>
      <c r="H216" s="76"/>
      <c r="I216" s="89"/>
      <c r="J216" s="89"/>
      <c r="K216" s="76"/>
      <c r="L216" s="76"/>
      <c r="M216" s="76"/>
      <c r="N216" s="76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8"/>
      <c r="AB216" s="77"/>
      <c r="AC216" s="77"/>
      <c r="AD216" s="77"/>
      <c r="AE216" s="77"/>
      <c r="AF216" s="77"/>
      <c r="AG216" s="79"/>
      <c r="AH216" s="82" t="s">
        <v>169</v>
      </c>
      <c r="AI216" s="82" t="s">
        <v>219</v>
      </c>
      <c r="AJ216" s="82">
        <v>10000000014</v>
      </c>
    </row>
    <row r="217" spans="2:36" ht="15.6" x14ac:dyDescent="0.3">
      <c r="B217" s="88"/>
      <c r="C217" s="76"/>
      <c r="D217" s="88"/>
      <c r="E217" s="88"/>
      <c r="F217" s="76"/>
      <c r="G217" s="76"/>
      <c r="H217" s="76"/>
      <c r="I217" s="89"/>
      <c r="J217" s="89"/>
      <c r="K217" s="76"/>
      <c r="L217" s="76"/>
      <c r="M217" s="76"/>
      <c r="N217" s="76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8"/>
      <c r="AB217" s="77"/>
      <c r="AC217" s="77"/>
      <c r="AD217" s="77"/>
      <c r="AE217" s="77"/>
      <c r="AF217" s="77"/>
      <c r="AG217" s="79"/>
      <c r="AH217" s="82" t="s">
        <v>170</v>
      </c>
      <c r="AI217" s="82" t="s">
        <v>220</v>
      </c>
      <c r="AJ217" s="82">
        <v>10000000015</v>
      </c>
    </row>
    <row r="218" spans="2:36" ht="15.6" x14ac:dyDescent="0.3">
      <c r="B218" s="88"/>
      <c r="C218" s="76"/>
      <c r="D218" s="88"/>
      <c r="E218" s="88"/>
      <c r="F218" s="76"/>
      <c r="G218" s="76"/>
      <c r="H218" s="76"/>
      <c r="I218" s="89"/>
      <c r="J218" s="89"/>
      <c r="K218" s="76"/>
      <c r="L218" s="76"/>
      <c r="M218" s="76"/>
      <c r="N218" s="76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8"/>
      <c r="AB218" s="77"/>
      <c r="AC218" s="77"/>
      <c r="AD218" s="77"/>
      <c r="AE218" s="77"/>
      <c r="AF218" s="77"/>
      <c r="AG218" s="79"/>
      <c r="AH218" s="82" t="s">
        <v>171</v>
      </c>
      <c r="AI218" s="82" t="s">
        <v>221</v>
      </c>
      <c r="AJ218" s="82">
        <v>10000000016</v>
      </c>
    </row>
    <row r="219" spans="2:36" ht="15.6" x14ac:dyDescent="0.3">
      <c r="B219" s="88"/>
      <c r="C219" s="76"/>
      <c r="D219" s="88"/>
      <c r="E219" s="88"/>
      <c r="F219" s="76"/>
      <c r="G219" s="76"/>
      <c r="H219" s="76"/>
      <c r="I219" s="89"/>
      <c r="J219" s="89"/>
      <c r="K219" s="76"/>
      <c r="L219" s="76"/>
      <c r="M219" s="76"/>
      <c r="N219" s="76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8"/>
      <c r="AB219" s="77"/>
      <c r="AC219" s="77"/>
      <c r="AD219" s="77"/>
      <c r="AE219" s="77"/>
      <c r="AF219" s="77"/>
      <c r="AG219" s="79"/>
      <c r="AH219" s="82" t="s">
        <v>172</v>
      </c>
      <c r="AI219" s="82" t="s">
        <v>222</v>
      </c>
      <c r="AJ219" s="82">
        <v>10000000017</v>
      </c>
    </row>
    <row r="220" spans="2:36" ht="15.6" x14ac:dyDescent="0.3">
      <c r="B220" s="88"/>
      <c r="C220" s="76"/>
      <c r="D220" s="88"/>
      <c r="E220" s="88"/>
      <c r="F220" s="76"/>
      <c r="G220" s="76"/>
      <c r="H220" s="76"/>
      <c r="I220" s="89"/>
      <c r="J220" s="89"/>
      <c r="K220" s="76"/>
      <c r="L220" s="76"/>
      <c r="M220" s="76"/>
      <c r="N220" s="76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8"/>
      <c r="AB220" s="77"/>
      <c r="AC220" s="77"/>
      <c r="AD220" s="77"/>
      <c r="AE220" s="77"/>
      <c r="AF220" s="77"/>
      <c r="AG220" s="79"/>
      <c r="AH220" s="82" t="s">
        <v>173</v>
      </c>
      <c r="AI220" s="82" t="s">
        <v>223</v>
      </c>
      <c r="AJ220" s="82">
        <v>10000000018</v>
      </c>
    </row>
    <row r="221" spans="2:36" ht="15.6" x14ac:dyDescent="0.3">
      <c r="B221" s="88"/>
      <c r="C221" s="76"/>
      <c r="D221" s="88"/>
      <c r="E221" s="88"/>
      <c r="F221" s="76"/>
      <c r="G221" s="76"/>
      <c r="H221" s="76"/>
      <c r="I221" s="89"/>
      <c r="J221" s="89"/>
      <c r="K221" s="76"/>
      <c r="L221" s="76"/>
      <c r="M221" s="76"/>
      <c r="N221" s="76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8"/>
      <c r="AB221" s="77"/>
      <c r="AC221" s="77"/>
      <c r="AD221" s="77"/>
      <c r="AE221" s="77"/>
      <c r="AF221" s="77"/>
      <c r="AG221" s="79"/>
      <c r="AH221" s="82" t="s">
        <v>174</v>
      </c>
      <c r="AI221" s="82" t="s">
        <v>224</v>
      </c>
      <c r="AJ221" s="82">
        <v>10000000019</v>
      </c>
    </row>
    <row r="222" spans="2:36" ht="15.6" x14ac:dyDescent="0.3">
      <c r="B222" s="88"/>
      <c r="C222" s="76"/>
      <c r="D222" s="88"/>
      <c r="E222" s="88"/>
      <c r="F222" s="76"/>
      <c r="G222" s="76"/>
      <c r="H222" s="76"/>
      <c r="I222" s="89"/>
      <c r="J222" s="89"/>
      <c r="K222" s="76"/>
      <c r="L222" s="76"/>
      <c r="M222" s="76"/>
      <c r="N222" s="76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8"/>
      <c r="AB222" s="77"/>
      <c r="AC222" s="77"/>
      <c r="AD222" s="77"/>
      <c r="AE222" s="77"/>
      <c r="AF222" s="77"/>
      <c r="AG222" s="79"/>
      <c r="AH222" s="82" t="s">
        <v>175</v>
      </c>
      <c r="AI222" s="82" t="s">
        <v>225</v>
      </c>
      <c r="AJ222" s="82">
        <v>10000000020</v>
      </c>
    </row>
    <row r="223" spans="2:36" ht="15.6" x14ac:dyDescent="0.3">
      <c r="B223" s="88"/>
      <c r="C223" s="76"/>
      <c r="D223" s="88"/>
      <c r="E223" s="88"/>
      <c r="F223" s="76"/>
      <c r="G223" s="76"/>
      <c r="H223" s="76"/>
      <c r="I223" s="89"/>
      <c r="J223" s="89"/>
      <c r="K223" s="76"/>
      <c r="L223" s="76"/>
      <c r="M223" s="76"/>
      <c r="N223" s="76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8"/>
      <c r="AB223" s="77"/>
      <c r="AC223" s="77"/>
      <c r="AD223" s="77"/>
      <c r="AE223" s="77"/>
      <c r="AF223" s="77"/>
      <c r="AG223" s="79"/>
      <c r="AH223" s="82" t="s">
        <v>176</v>
      </c>
      <c r="AI223" s="82" t="s">
        <v>226</v>
      </c>
      <c r="AJ223" s="82">
        <v>10000000021</v>
      </c>
    </row>
    <row r="224" spans="2:36" ht="15.6" x14ac:dyDescent="0.3">
      <c r="B224" s="88"/>
      <c r="C224" s="76"/>
      <c r="D224" s="88"/>
      <c r="E224" s="88"/>
      <c r="F224" s="76"/>
      <c r="G224" s="76"/>
      <c r="H224" s="76"/>
      <c r="I224" s="89"/>
      <c r="J224" s="89"/>
      <c r="K224" s="76"/>
      <c r="L224" s="76"/>
      <c r="M224" s="76"/>
      <c r="N224" s="76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8"/>
      <c r="AB224" s="77"/>
      <c r="AC224" s="77"/>
      <c r="AD224" s="77"/>
      <c r="AE224" s="77"/>
      <c r="AF224" s="77"/>
      <c r="AG224" s="79"/>
      <c r="AH224" s="82" t="s">
        <v>177</v>
      </c>
      <c r="AI224" s="82" t="s">
        <v>227</v>
      </c>
      <c r="AJ224" s="82">
        <v>10000000022</v>
      </c>
    </row>
    <row r="225" spans="2:36" ht="15.6" x14ac:dyDescent="0.3">
      <c r="B225" s="88"/>
      <c r="C225" s="76"/>
      <c r="D225" s="88"/>
      <c r="E225" s="88"/>
      <c r="F225" s="76"/>
      <c r="G225" s="76"/>
      <c r="H225" s="76"/>
      <c r="I225" s="89"/>
      <c r="J225" s="89"/>
      <c r="K225" s="76"/>
      <c r="L225" s="76"/>
      <c r="M225" s="76"/>
      <c r="N225" s="76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8"/>
      <c r="AB225" s="77"/>
      <c r="AC225" s="77"/>
      <c r="AD225" s="77"/>
      <c r="AE225" s="77"/>
      <c r="AF225" s="77"/>
      <c r="AG225" s="79"/>
      <c r="AH225" s="82" t="s">
        <v>178</v>
      </c>
      <c r="AI225" s="82" t="s">
        <v>228</v>
      </c>
      <c r="AJ225" s="82">
        <v>10000000023</v>
      </c>
    </row>
    <row r="226" spans="2:36" ht="15.6" x14ac:dyDescent="0.3">
      <c r="B226" s="88"/>
      <c r="C226" s="76"/>
      <c r="D226" s="88"/>
      <c r="E226" s="88"/>
      <c r="F226" s="76"/>
      <c r="G226" s="76"/>
      <c r="H226" s="76"/>
      <c r="I226" s="89"/>
      <c r="J226" s="89"/>
      <c r="K226" s="76"/>
      <c r="L226" s="76"/>
      <c r="M226" s="76"/>
      <c r="N226" s="76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8"/>
      <c r="AB226" s="77"/>
      <c r="AC226" s="77"/>
      <c r="AD226" s="77"/>
      <c r="AE226" s="77"/>
      <c r="AF226" s="77"/>
      <c r="AG226" s="79"/>
      <c r="AH226" s="82" t="s">
        <v>179</v>
      </c>
      <c r="AI226" s="82" t="s">
        <v>229</v>
      </c>
      <c r="AJ226" s="82">
        <v>10000000024</v>
      </c>
    </row>
    <row r="227" spans="2:36" ht="15.6" x14ac:dyDescent="0.3">
      <c r="B227" s="88"/>
      <c r="C227" s="76"/>
      <c r="D227" s="88"/>
      <c r="E227" s="88"/>
      <c r="F227" s="76"/>
      <c r="G227" s="76"/>
      <c r="H227" s="76"/>
      <c r="I227" s="89"/>
      <c r="J227" s="89"/>
      <c r="K227" s="76"/>
      <c r="L227" s="76"/>
      <c r="M227" s="76"/>
      <c r="N227" s="76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8"/>
      <c r="AB227" s="77"/>
      <c r="AC227" s="77"/>
      <c r="AD227" s="77"/>
      <c r="AE227" s="77"/>
      <c r="AF227" s="77"/>
      <c r="AG227" s="79"/>
      <c r="AH227" s="82" t="s">
        <v>180</v>
      </c>
      <c r="AI227" s="82" t="s">
        <v>230</v>
      </c>
      <c r="AJ227" s="82">
        <v>10000000025</v>
      </c>
    </row>
    <row r="228" spans="2:36" ht="15.6" x14ac:dyDescent="0.3">
      <c r="B228" s="88"/>
      <c r="C228" s="76"/>
      <c r="D228" s="88"/>
      <c r="E228" s="88"/>
      <c r="F228" s="76"/>
      <c r="G228" s="76"/>
      <c r="H228" s="76"/>
      <c r="I228" s="89"/>
      <c r="J228" s="89"/>
      <c r="K228" s="76"/>
      <c r="L228" s="76"/>
      <c r="M228" s="76"/>
      <c r="N228" s="76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8"/>
      <c r="AB228" s="77"/>
      <c r="AC228" s="77"/>
      <c r="AD228" s="77"/>
      <c r="AE228" s="77"/>
      <c r="AF228" s="77"/>
      <c r="AG228" s="79"/>
      <c r="AH228" s="82" t="s">
        <v>181</v>
      </c>
      <c r="AI228" s="82" t="s">
        <v>231</v>
      </c>
      <c r="AJ228" s="82">
        <v>10000000026</v>
      </c>
    </row>
    <row r="229" spans="2:36" ht="15.6" x14ac:dyDescent="0.3">
      <c r="B229" s="88"/>
      <c r="C229" s="76"/>
      <c r="D229" s="88"/>
      <c r="E229" s="88"/>
      <c r="F229" s="76"/>
      <c r="G229" s="76"/>
      <c r="H229" s="76"/>
      <c r="I229" s="89"/>
      <c r="J229" s="89"/>
      <c r="K229" s="76"/>
      <c r="L229" s="76"/>
      <c r="M229" s="76"/>
      <c r="N229" s="76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8"/>
      <c r="AB229" s="77"/>
      <c r="AC229" s="77"/>
      <c r="AD229" s="77"/>
      <c r="AE229" s="77"/>
      <c r="AF229" s="77"/>
      <c r="AG229" s="79"/>
      <c r="AH229" s="82" t="s">
        <v>182</v>
      </c>
      <c r="AI229" s="82" t="s">
        <v>232</v>
      </c>
      <c r="AJ229" s="82">
        <v>10000000027</v>
      </c>
    </row>
    <row r="230" spans="2:36" ht="15.6" x14ac:dyDescent="0.3">
      <c r="B230" s="88"/>
      <c r="C230" s="76"/>
      <c r="D230" s="88"/>
      <c r="E230" s="88"/>
      <c r="F230" s="76"/>
      <c r="G230" s="76"/>
      <c r="H230" s="76"/>
      <c r="I230" s="89"/>
      <c r="J230" s="89"/>
      <c r="K230" s="76"/>
      <c r="L230" s="76"/>
      <c r="M230" s="76"/>
      <c r="N230" s="76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8"/>
      <c r="AB230" s="77"/>
      <c r="AC230" s="77"/>
      <c r="AD230" s="77"/>
      <c r="AE230" s="77"/>
      <c r="AF230" s="77"/>
      <c r="AG230" s="79"/>
      <c r="AH230" s="82" t="s">
        <v>183</v>
      </c>
      <c r="AI230" s="82" t="s">
        <v>233</v>
      </c>
      <c r="AJ230" s="82">
        <v>10000000028</v>
      </c>
    </row>
    <row r="231" spans="2:36" ht="15.6" x14ac:dyDescent="0.3">
      <c r="B231" s="88"/>
      <c r="C231" s="76"/>
      <c r="D231" s="88"/>
      <c r="E231" s="88"/>
      <c r="F231" s="76"/>
      <c r="G231" s="76"/>
      <c r="H231" s="76"/>
      <c r="I231" s="89"/>
      <c r="J231" s="89"/>
      <c r="K231" s="76"/>
      <c r="L231" s="76"/>
      <c r="M231" s="76"/>
      <c r="N231" s="76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8"/>
      <c r="AB231" s="77"/>
      <c r="AC231" s="77"/>
      <c r="AD231" s="77"/>
      <c r="AE231" s="77"/>
      <c r="AF231" s="77"/>
      <c r="AG231" s="79"/>
      <c r="AH231" s="82" t="s">
        <v>184</v>
      </c>
      <c r="AI231" s="82" t="s">
        <v>234</v>
      </c>
      <c r="AJ231" s="82">
        <v>10000000029</v>
      </c>
    </row>
    <row r="232" spans="2:36" ht="15.6" x14ac:dyDescent="0.3">
      <c r="B232" s="88"/>
      <c r="C232" s="76"/>
      <c r="D232" s="88"/>
      <c r="E232" s="88"/>
      <c r="F232" s="76"/>
      <c r="G232" s="76"/>
      <c r="H232" s="76"/>
      <c r="I232" s="89"/>
      <c r="J232" s="89"/>
      <c r="K232" s="76"/>
      <c r="L232" s="76"/>
      <c r="M232" s="76"/>
      <c r="N232" s="76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8"/>
      <c r="AB232" s="77"/>
      <c r="AC232" s="77"/>
      <c r="AD232" s="77"/>
      <c r="AE232" s="77"/>
      <c r="AF232" s="77"/>
      <c r="AG232" s="79"/>
      <c r="AH232" s="82" t="s">
        <v>185</v>
      </c>
      <c r="AI232" s="82" t="s">
        <v>235</v>
      </c>
      <c r="AJ232" s="82">
        <v>10000000030</v>
      </c>
    </row>
    <row r="233" spans="2:36" ht="15.6" x14ac:dyDescent="0.3">
      <c r="B233" s="88"/>
      <c r="C233" s="76"/>
      <c r="D233" s="88"/>
      <c r="E233" s="88"/>
      <c r="F233" s="76"/>
      <c r="G233" s="76"/>
      <c r="H233" s="76"/>
      <c r="I233" s="89"/>
      <c r="J233" s="89"/>
      <c r="K233" s="76"/>
      <c r="L233" s="76"/>
      <c r="M233" s="76"/>
      <c r="N233" s="76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8"/>
      <c r="AB233" s="77"/>
      <c r="AC233" s="77"/>
      <c r="AD233" s="77"/>
      <c r="AE233" s="77"/>
      <c r="AF233" s="77"/>
      <c r="AG233" s="79"/>
      <c r="AH233" s="82" t="s">
        <v>186</v>
      </c>
      <c r="AI233" s="82" t="s">
        <v>236</v>
      </c>
      <c r="AJ233" s="82">
        <v>10000000031</v>
      </c>
    </row>
    <row r="234" spans="2:36" ht="15.6" x14ac:dyDescent="0.3">
      <c r="B234" s="88"/>
      <c r="C234" s="76"/>
      <c r="D234" s="88"/>
      <c r="E234" s="88"/>
      <c r="F234" s="76"/>
      <c r="G234" s="76"/>
      <c r="H234" s="76"/>
      <c r="I234" s="89"/>
      <c r="J234" s="89"/>
      <c r="K234" s="76"/>
      <c r="L234" s="76"/>
      <c r="M234" s="76"/>
      <c r="N234" s="76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8"/>
      <c r="AB234" s="77"/>
      <c r="AC234" s="77"/>
      <c r="AD234" s="77"/>
      <c r="AE234" s="77"/>
      <c r="AF234" s="77"/>
      <c r="AG234" s="79"/>
      <c r="AH234" s="82" t="s">
        <v>187</v>
      </c>
      <c r="AI234" s="82" t="s">
        <v>237</v>
      </c>
      <c r="AJ234" s="82">
        <v>10000000032</v>
      </c>
    </row>
    <row r="235" spans="2:36" ht="15.6" x14ac:dyDescent="0.3">
      <c r="B235" s="88"/>
      <c r="C235" s="76"/>
      <c r="D235" s="88"/>
      <c r="E235" s="88"/>
      <c r="F235" s="76"/>
      <c r="G235" s="76"/>
      <c r="H235" s="76"/>
      <c r="I235" s="89"/>
      <c r="J235" s="89"/>
      <c r="K235" s="76"/>
      <c r="L235" s="76"/>
      <c r="M235" s="76"/>
      <c r="N235" s="76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8"/>
      <c r="AB235" s="77"/>
      <c r="AC235" s="77"/>
      <c r="AD235" s="77"/>
      <c r="AE235" s="77"/>
      <c r="AF235" s="77"/>
      <c r="AG235" s="79"/>
      <c r="AH235" s="82" t="s">
        <v>188</v>
      </c>
      <c r="AI235" s="82" t="s">
        <v>238</v>
      </c>
      <c r="AJ235" s="82">
        <v>10000000033</v>
      </c>
    </row>
    <row r="236" spans="2:36" ht="15.6" x14ac:dyDescent="0.3">
      <c r="B236" s="88"/>
      <c r="C236" s="76"/>
      <c r="D236" s="88"/>
      <c r="E236" s="88"/>
      <c r="F236" s="76"/>
      <c r="G236" s="76"/>
      <c r="H236" s="76"/>
      <c r="I236" s="89"/>
      <c r="J236" s="89"/>
      <c r="K236" s="76"/>
      <c r="L236" s="76"/>
      <c r="M236" s="76"/>
      <c r="N236" s="76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8"/>
      <c r="AB236" s="77"/>
      <c r="AC236" s="77"/>
      <c r="AD236" s="77"/>
      <c r="AE236" s="77"/>
      <c r="AF236" s="77"/>
      <c r="AG236" s="79"/>
      <c r="AH236" s="82" t="s">
        <v>189</v>
      </c>
      <c r="AI236" s="82" t="s">
        <v>239</v>
      </c>
      <c r="AJ236" s="82">
        <v>10000000034</v>
      </c>
    </row>
    <row r="237" spans="2:36" ht="15.6" x14ac:dyDescent="0.3">
      <c r="B237" s="88"/>
      <c r="C237" s="76"/>
      <c r="D237" s="88"/>
      <c r="E237" s="88"/>
      <c r="F237" s="76"/>
      <c r="G237" s="76"/>
      <c r="H237" s="76"/>
      <c r="I237" s="89"/>
      <c r="J237" s="89"/>
      <c r="K237" s="76"/>
      <c r="L237" s="76"/>
      <c r="M237" s="76"/>
      <c r="N237" s="76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8"/>
      <c r="AB237" s="77"/>
      <c r="AC237" s="77"/>
      <c r="AD237" s="77"/>
      <c r="AE237" s="77"/>
      <c r="AF237" s="77"/>
      <c r="AG237" s="79"/>
      <c r="AH237" s="82" t="s">
        <v>190</v>
      </c>
      <c r="AI237" s="82" t="s">
        <v>240</v>
      </c>
      <c r="AJ237" s="82">
        <v>10000000035</v>
      </c>
    </row>
    <row r="238" spans="2:36" ht="15.6" x14ac:dyDescent="0.3">
      <c r="B238" s="88"/>
      <c r="C238" s="76"/>
      <c r="D238" s="88"/>
      <c r="E238" s="88"/>
      <c r="F238" s="76"/>
      <c r="G238" s="76"/>
      <c r="H238" s="76"/>
      <c r="I238" s="89"/>
      <c r="J238" s="89"/>
      <c r="K238" s="76"/>
      <c r="L238" s="76"/>
      <c r="M238" s="76"/>
      <c r="N238" s="76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8"/>
      <c r="AB238" s="77"/>
      <c r="AC238" s="77"/>
      <c r="AD238" s="77"/>
      <c r="AE238" s="77"/>
      <c r="AF238" s="77"/>
      <c r="AG238" s="79"/>
      <c r="AH238" s="82" t="s">
        <v>191</v>
      </c>
      <c r="AI238" s="82" t="s">
        <v>241</v>
      </c>
      <c r="AJ238" s="82">
        <v>10000000036</v>
      </c>
    </row>
    <row r="239" spans="2:36" ht="15.6" x14ac:dyDescent="0.3">
      <c r="B239" s="88"/>
      <c r="C239" s="76"/>
      <c r="D239" s="88"/>
      <c r="E239" s="88"/>
      <c r="F239" s="76"/>
      <c r="G239" s="76"/>
      <c r="H239" s="76"/>
      <c r="I239" s="89"/>
      <c r="J239" s="89"/>
      <c r="K239" s="76"/>
      <c r="L239" s="76"/>
      <c r="M239" s="76"/>
      <c r="N239" s="76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8"/>
      <c r="AB239" s="77"/>
      <c r="AC239" s="77"/>
      <c r="AD239" s="77"/>
      <c r="AE239" s="77"/>
      <c r="AF239" s="77"/>
      <c r="AG239" s="79"/>
      <c r="AH239" s="82" t="s">
        <v>192</v>
      </c>
      <c r="AI239" s="82" t="s">
        <v>242</v>
      </c>
      <c r="AJ239" s="82">
        <v>10000000037</v>
      </c>
    </row>
    <row r="240" spans="2:36" ht="15.6" x14ac:dyDescent="0.3">
      <c r="B240" s="88"/>
      <c r="C240" s="76"/>
      <c r="D240" s="88"/>
      <c r="E240" s="88"/>
      <c r="F240" s="76"/>
      <c r="G240" s="76"/>
      <c r="H240" s="76"/>
      <c r="I240" s="89"/>
      <c r="J240" s="89"/>
      <c r="K240" s="76"/>
      <c r="L240" s="76"/>
      <c r="M240" s="76"/>
      <c r="N240" s="76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8"/>
      <c r="AB240" s="77"/>
      <c r="AC240" s="77"/>
      <c r="AD240" s="77"/>
      <c r="AE240" s="77"/>
      <c r="AF240" s="77"/>
      <c r="AG240" s="79"/>
      <c r="AH240" s="82" t="s">
        <v>193</v>
      </c>
      <c r="AI240" s="82" t="s">
        <v>243</v>
      </c>
      <c r="AJ240" s="82">
        <v>10000000038</v>
      </c>
    </row>
    <row r="241" spans="2:36" ht="15.6" x14ac:dyDescent="0.3">
      <c r="B241" s="88"/>
      <c r="C241" s="76"/>
      <c r="D241" s="88"/>
      <c r="E241" s="88"/>
      <c r="F241" s="76"/>
      <c r="G241" s="76"/>
      <c r="H241" s="76"/>
      <c r="I241" s="89"/>
      <c r="J241" s="89"/>
      <c r="K241" s="76"/>
      <c r="L241" s="76"/>
      <c r="M241" s="76"/>
      <c r="N241" s="76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8"/>
      <c r="AB241" s="77"/>
      <c r="AC241" s="77"/>
      <c r="AD241" s="77"/>
      <c r="AE241" s="77"/>
      <c r="AF241" s="77"/>
      <c r="AG241" s="79"/>
      <c r="AH241" s="82" t="s">
        <v>194</v>
      </c>
      <c r="AI241" s="82" t="s">
        <v>244</v>
      </c>
      <c r="AJ241" s="82">
        <v>10000000039</v>
      </c>
    </row>
    <row r="242" spans="2:36" ht="15.6" x14ac:dyDescent="0.3">
      <c r="B242" s="88"/>
      <c r="C242" s="76"/>
      <c r="D242" s="88"/>
      <c r="E242" s="88"/>
      <c r="F242" s="76"/>
      <c r="G242" s="76"/>
      <c r="H242" s="76"/>
      <c r="I242" s="89"/>
      <c r="J242" s="89"/>
      <c r="K242" s="76"/>
      <c r="L242" s="76"/>
      <c r="M242" s="76"/>
      <c r="N242" s="76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8"/>
      <c r="AB242" s="77"/>
      <c r="AC242" s="77"/>
      <c r="AD242" s="77"/>
      <c r="AE242" s="77"/>
      <c r="AF242" s="77"/>
      <c r="AG242" s="79"/>
      <c r="AH242" s="82" t="s">
        <v>195</v>
      </c>
      <c r="AI242" s="82" t="s">
        <v>245</v>
      </c>
      <c r="AJ242" s="82">
        <v>10000000040</v>
      </c>
    </row>
    <row r="243" spans="2:36" ht="15.6" x14ac:dyDescent="0.3">
      <c r="B243" s="88"/>
      <c r="C243" s="76"/>
      <c r="D243" s="88"/>
      <c r="E243" s="88"/>
      <c r="F243" s="76"/>
      <c r="G243" s="76"/>
      <c r="H243" s="76"/>
      <c r="I243" s="89"/>
      <c r="J243" s="89"/>
      <c r="K243" s="76"/>
      <c r="L243" s="76"/>
      <c r="M243" s="76"/>
      <c r="N243" s="76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8"/>
      <c r="AB243" s="77"/>
      <c r="AC243" s="77"/>
      <c r="AD243" s="77"/>
      <c r="AE243" s="77"/>
      <c r="AF243" s="77"/>
      <c r="AG243" s="79"/>
      <c r="AH243" s="82" t="s">
        <v>196</v>
      </c>
      <c r="AI243" s="82" t="s">
        <v>246</v>
      </c>
      <c r="AJ243" s="82">
        <v>10000000041</v>
      </c>
    </row>
    <row r="244" spans="2:36" ht="15.6" x14ac:dyDescent="0.3">
      <c r="B244" s="88"/>
      <c r="C244" s="76"/>
      <c r="D244" s="88"/>
      <c r="E244" s="88"/>
      <c r="F244" s="76"/>
      <c r="G244" s="76"/>
      <c r="H244" s="76"/>
      <c r="I244" s="89"/>
      <c r="J244" s="89"/>
      <c r="K244" s="76"/>
      <c r="L244" s="76"/>
      <c r="M244" s="76"/>
      <c r="N244" s="76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8"/>
      <c r="AB244" s="77"/>
      <c r="AC244" s="77"/>
      <c r="AD244" s="77"/>
      <c r="AE244" s="77"/>
      <c r="AF244" s="77"/>
      <c r="AG244" s="79"/>
      <c r="AH244" s="82" t="s">
        <v>197</v>
      </c>
      <c r="AI244" s="82" t="s">
        <v>247</v>
      </c>
      <c r="AJ244" s="82">
        <v>10000000042</v>
      </c>
    </row>
    <row r="245" spans="2:36" ht="15.6" x14ac:dyDescent="0.3">
      <c r="B245" s="88"/>
      <c r="C245" s="76"/>
      <c r="D245" s="88"/>
      <c r="E245" s="88"/>
      <c r="F245" s="76"/>
      <c r="G245" s="76"/>
      <c r="H245" s="76"/>
      <c r="I245" s="89"/>
      <c r="J245" s="89"/>
      <c r="K245" s="76"/>
      <c r="L245" s="76"/>
      <c r="M245" s="76"/>
      <c r="N245" s="76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8"/>
      <c r="AB245" s="77"/>
      <c r="AC245" s="77"/>
      <c r="AD245" s="77"/>
      <c r="AE245" s="77"/>
      <c r="AF245" s="77"/>
      <c r="AG245" s="79"/>
      <c r="AH245" s="82" t="s">
        <v>198</v>
      </c>
      <c r="AI245" s="82" t="s">
        <v>248</v>
      </c>
      <c r="AJ245" s="82">
        <v>10000000043</v>
      </c>
    </row>
    <row r="246" spans="2:36" ht="15.6" x14ac:dyDescent="0.3">
      <c r="B246" s="88"/>
      <c r="C246" s="76"/>
      <c r="D246" s="88"/>
      <c r="E246" s="88"/>
      <c r="F246" s="76"/>
      <c r="G246" s="76"/>
      <c r="H246" s="76"/>
      <c r="I246" s="89"/>
      <c r="J246" s="89"/>
      <c r="K246" s="76"/>
      <c r="L246" s="76"/>
      <c r="M246" s="76"/>
      <c r="N246" s="76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8"/>
      <c r="AB246" s="77"/>
      <c r="AC246" s="77"/>
      <c r="AD246" s="77"/>
      <c r="AE246" s="77"/>
      <c r="AF246" s="77"/>
      <c r="AG246" s="79"/>
      <c r="AH246" s="82" t="s">
        <v>199</v>
      </c>
      <c r="AI246" s="82" t="s">
        <v>249</v>
      </c>
      <c r="AJ246" s="82">
        <v>10000000044</v>
      </c>
    </row>
    <row r="247" spans="2:36" ht="15.6" x14ac:dyDescent="0.3">
      <c r="B247" s="88"/>
      <c r="C247" s="76"/>
      <c r="D247" s="88"/>
      <c r="E247" s="88"/>
      <c r="F247" s="76"/>
      <c r="G247" s="76"/>
      <c r="H247" s="76"/>
      <c r="I247" s="89"/>
      <c r="J247" s="89"/>
      <c r="K247" s="76"/>
      <c r="L247" s="76"/>
      <c r="M247" s="76"/>
      <c r="N247" s="76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8"/>
      <c r="AB247" s="77"/>
      <c r="AC247" s="77"/>
      <c r="AD247" s="77"/>
      <c r="AE247" s="77"/>
      <c r="AF247" s="77"/>
      <c r="AG247" s="79"/>
      <c r="AH247" s="82" t="s">
        <v>200</v>
      </c>
      <c r="AI247" s="82" t="s">
        <v>250</v>
      </c>
      <c r="AJ247" s="82">
        <v>10000000045</v>
      </c>
    </row>
    <row r="248" spans="2:36" ht="15.6" x14ac:dyDescent="0.3">
      <c r="B248" s="88"/>
      <c r="C248" s="76"/>
      <c r="D248" s="88"/>
      <c r="E248" s="88"/>
      <c r="F248" s="76"/>
      <c r="G248" s="76"/>
      <c r="H248" s="76"/>
      <c r="I248" s="89"/>
      <c r="J248" s="89"/>
      <c r="K248" s="76"/>
      <c r="L248" s="76"/>
      <c r="M248" s="76"/>
      <c r="N248" s="76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8"/>
      <c r="AB248" s="77"/>
      <c r="AC248" s="77"/>
      <c r="AD248" s="77"/>
      <c r="AE248" s="77"/>
      <c r="AF248" s="77"/>
      <c r="AG248" s="79"/>
      <c r="AH248" s="82" t="s">
        <v>201</v>
      </c>
      <c r="AI248" s="82" t="s">
        <v>251</v>
      </c>
      <c r="AJ248" s="82">
        <v>10000000046</v>
      </c>
    </row>
    <row r="249" spans="2:36" ht="15.6" x14ac:dyDescent="0.3">
      <c r="B249" s="88"/>
      <c r="C249" s="76"/>
      <c r="D249" s="88"/>
      <c r="E249" s="88"/>
      <c r="F249" s="76"/>
      <c r="G249" s="76"/>
      <c r="H249" s="76"/>
      <c r="I249" s="89"/>
      <c r="J249" s="89"/>
      <c r="K249" s="76"/>
      <c r="L249" s="76"/>
      <c r="M249" s="76"/>
      <c r="N249" s="76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8"/>
      <c r="AB249" s="77"/>
      <c r="AC249" s="77"/>
      <c r="AD249" s="77"/>
      <c r="AE249" s="77"/>
      <c r="AF249" s="77"/>
      <c r="AG249" s="79"/>
      <c r="AH249" s="82" t="s">
        <v>202</v>
      </c>
      <c r="AI249" s="82" t="s">
        <v>252</v>
      </c>
      <c r="AJ249" s="82">
        <v>10000000047</v>
      </c>
    </row>
    <row r="250" spans="2:36" ht="15.6" x14ac:dyDescent="0.3">
      <c r="B250" s="88"/>
      <c r="C250" s="76"/>
      <c r="D250" s="88"/>
      <c r="E250" s="88"/>
      <c r="F250" s="76"/>
      <c r="G250" s="76"/>
      <c r="H250" s="76"/>
      <c r="I250" s="89"/>
      <c r="J250" s="89"/>
      <c r="K250" s="76"/>
      <c r="L250" s="76"/>
      <c r="M250" s="76"/>
      <c r="N250" s="76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8"/>
      <c r="AB250" s="77"/>
      <c r="AC250" s="77"/>
      <c r="AD250" s="77"/>
      <c r="AE250" s="77"/>
      <c r="AF250" s="77"/>
      <c r="AG250" s="79"/>
      <c r="AH250" s="82" t="s">
        <v>203</v>
      </c>
      <c r="AI250" s="82" t="s">
        <v>253</v>
      </c>
      <c r="AJ250" s="82">
        <v>10000000048</v>
      </c>
    </row>
    <row r="251" spans="2:36" ht="15.6" x14ac:dyDescent="0.3">
      <c r="B251" s="88"/>
      <c r="C251" s="76"/>
      <c r="D251" s="88"/>
      <c r="E251" s="88"/>
      <c r="F251" s="76"/>
      <c r="G251" s="76"/>
      <c r="H251" s="76"/>
      <c r="I251" s="89"/>
      <c r="J251" s="89"/>
      <c r="K251" s="76"/>
      <c r="L251" s="76"/>
      <c r="M251" s="76"/>
      <c r="N251" s="76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8"/>
      <c r="AB251" s="77"/>
      <c r="AC251" s="77"/>
      <c r="AD251" s="77"/>
      <c r="AE251" s="77"/>
      <c r="AF251" s="77"/>
      <c r="AG251" s="79"/>
      <c r="AH251" s="82" t="s">
        <v>204</v>
      </c>
      <c r="AI251" s="82" t="s">
        <v>254</v>
      </c>
      <c r="AJ251" s="82">
        <v>10000000049</v>
      </c>
    </row>
    <row r="252" spans="2:36" ht="15.6" x14ac:dyDescent="0.3">
      <c r="B252" s="88"/>
      <c r="C252" s="76"/>
      <c r="D252" s="88"/>
      <c r="E252" s="88"/>
      <c r="F252" s="76"/>
      <c r="G252" s="76"/>
      <c r="H252" s="76"/>
      <c r="I252" s="89"/>
      <c r="J252" s="89"/>
      <c r="K252" s="76"/>
      <c r="L252" s="76"/>
      <c r="M252" s="76"/>
      <c r="N252" s="76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8"/>
      <c r="AB252" s="77"/>
      <c r="AC252" s="77"/>
      <c r="AD252" s="77"/>
      <c r="AE252" s="77"/>
      <c r="AF252" s="77"/>
      <c r="AG252" s="79"/>
      <c r="AH252" s="82" t="s">
        <v>205</v>
      </c>
      <c r="AI252" s="82" t="s">
        <v>255</v>
      </c>
      <c r="AJ252" s="82">
        <v>10000000050</v>
      </c>
    </row>
    <row r="253" spans="2:36" ht="15.6" x14ac:dyDescent="0.3">
      <c r="B253" s="88"/>
      <c r="C253" s="76"/>
      <c r="D253" s="88"/>
      <c r="E253" s="88"/>
      <c r="F253" s="76"/>
      <c r="G253" s="76"/>
      <c r="H253" s="76"/>
      <c r="I253" s="89"/>
      <c r="J253" s="89"/>
      <c r="K253" s="76"/>
      <c r="L253" s="76"/>
      <c r="M253" s="76"/>
      <c r="N253" s="76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8"/>
      <c r="AB253" s="77"/>
      <c r="AC253" s="77"/>
      <c r="AD253" s="77"/>
      <c r="AE253" s="77"/>
      <c r="AF253" s="77"/>
      <c r="AG253" s="79"/>
      <c r="AH253" s="82" t="s">
        <v>156</v>
      </c>
      <c r="AI253" s="82" t="s">
        <v>206</v>
      </c>
      <c r="AJ253" s="82">
        <v>10000000001</v>
      </c>
    </row>
    <row r="254" spans="2:36" ht="15.6" x14ac:dyDescent="0.3">
      <c r="B254" s="88"/>
      <c r="C254" s="76"/>
      <c r="D254" s="88"/>
      <c r="E254" s="88"/>
      <c r="F254" s="76"/>
      <c r="G254" s="76"/>
      <c r="H254" s="76"/>
      <c r="I254" s="89"/>
      <c r="J254" s="89"/>
      <c r="K254" s="76"/>
      <c r="L254" s="76"/>
      <c r="M254" s="76"/>
      <c r="N254" s="76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8"/>
      <c r="AB254" s="77"/>
      <c r="AC254" s="77"/>
      <c r="AD254" s="77"/>
      <c r="AE254" s="77"/>
      <c r="AF254" s="77"/>
      <c r="AG254" s="79"/>
      <c r="AH254" s="82" t="s">
        <v>157</v>
      </c>
      <c r="AI254" s="82" t="s">
        <v>207</v>
      </c>
      <c r="AJ254" s="82">
        <v>10000000002</v>
      </c>
    </row>
    <row r="255" spans="2:36" ht="15.6" x14ac:dyDescent="0.3">
      <c r="B255" s="88"/>
      <c r="C255" s="76"/>
      <c r="D255" s="88"/>
      <c r="E255" s="88"/>
      <c r="F255" s="76"/>
      <c r="G255" s="76"/>
      <c r="H255" s="76"/>
      <c r="I255" s="89"/>
      <c r="J255" s="89"/>
      <c r="K255" s="76"/>
      <c r="L255" s="76"/>
      <c r="M255" s="76"/>
      <c r="N255" s="76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8"/>
      <c r="AB255" s="77"/>
      <c r="AC255" s="77"/>
      <c r="AD255" s="77"/>
      <c r="AE255" s="77"/>
      <c r="AF255" s="77"/>
      <c r="AG255" s="79"/>
      <c r="AH255" s="82" t="s">
        <v>158</v>
      </c>
      <c r="AI255" s="82" t="s">
        <v>208</v>
      </c>
      <c r="AJ255" s="82">
        <v>10000000003</v>
      </c>
    </row>
    <row r="256" spans="2:36" ht="15.6" x14ac:dyDescent="0.3">
      <c r="B256" s="88"/>
      <c r="C256" s="76"/>
      <c r="D256" s="88"/>
      <c r="E256" s="88"/>
      <c r="F256" s="76"/>
      <c r="G256" s="76"/>
      <c r="H256" s="76"/>
      <c r="I256" s="89"/>
      <c r="J256" s="89"/>
      <c r="K256" s="76"/>
      <c r="L256" s="76"/>
      <c r="M256" s="76"/>
      <c r="N256" s="76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8"/>
      <c r="AB256" s="77"/>
      <c r="AC256" s="77"/>
      <c r="AD256" s="77"/>
      <c r="AE256" s="77"/>
      <c r="AF256" s="77"/>
      <c r="AG256" s="79"/>
      <c r="AH256" s="82" t="s">
        <v>159</v>
      </c>
      <c r="AI256" s="82" t="s">
        <v>209</v>
      </c>
      <c r="AJ256" s="82">
        <v>10000000004</v>
      </c>
    </row>
    <row r="257" spans="2:36" ht="15.6" x14ac:dyDescent="0.3">
      <c r="B257" s="88"/>
      <c r="C257" s="76"/>
      <c r="D257" s="88"/>
      <c r="E257" s="88"/>
      <c r="F257" s="76"/>
      <c r="G257" s="76"/>
      <c r="H257" s="76"/>
      <c r="I257" s="89"/>
      <c r="J257" s="89"/>
      <c r="K257" s="76"/>
      <c r="L257" s="76"/>
      <c r="M257" s="76"/>
      <c r="N257" s="76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8"/>
      <c r="AB257" s="77"/>
      <c r="AC257" s="77"/>
      <c r="AD257" s="77"/>
      <c r="AE257" s="77"/>
      <c r="AF257" s="77"/>
      <c r="AG257" s="79"/>
      <c r="AH257" s="82" t="s">
        <v>160</v>
      </c>
      <c r="AI257" s="82" t="s">
        <v>210</v>
      </c>
      <c r="AJ257" s="82">
        <v>10000000005</v>
      </c>
    </row>
    <row r="258" spans="2:36" ht="15.6" x14ac:dyDescent="0.3">
      <c r="B258" s="88"/>
      <c r="C258" s="76"/>
      <c r="D258" s="88"/>
      <c r="E258" s="88"/>
      <c r="F258" s="76"/>
      <c r="G258" s="76"/>
      <c r="H258" s="76"/>
      <c r="I258" s="89"/>
      <c r="J258" s="89"/>
      <c r="K258" s="76"/>
      <c r="L258" s="76"/>
      <c r="M258" s="76"/>
      <c r="N258" s="76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8"/>
      <c r="AB258" s="77"/>
      <c r="AC258" s="77"/>
      <c r="AD258" s="77"/>
      <c r="AE258" s="77"/>
      <c r="AF258" s="77"/>
      <c r="AG258" s="79"/>
      <c r="AH258" s="82" t="s">
        <v>161</v>
      </c>
      <c r="AI258" s="82" t="s">
        <v>211</v>
      </c>
      <c r="AJ258" s="82">
        <v>10000000006</v>
      </c>
    </row>
    <row r="259" spans="2:36" ht="15.6" x14ac:dyDescent="0.3">
      <c r="B259" s="88"/>
      <c r="C259" s="76"/>
      <c r="D259" s="88"/>
      <c r="E259" s="88"/>
      <c r="F259" s="76"/>
      <c r="G259" s="76"/>
      <c r="H259" s="76"/>
      <c r="I259" s="89"/>
      <c r="J259" s="89"/>
      <c r="K259" s="76"/>
      <c r="L259" s="76"/>
      <c r="M259" s="76"/>
      <c r="N259" s="76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8"/>
      <c r="AB259" s="77"/>
      <c r="AC259" s="77"/>
      <c r="AD259" s="77"/>
      <c r="AE259" s="77"/>
      <c r="AF259" s="77"/>
      <c r="AG259" s="79"/>
      <c r="AH259" s="82" t="s">
        <v>162</v>
      </c>
      <c r="AI259" s="82" t="s">
        <v>212</v>
      </c>
      <c r="AJ259" s="82">
        <v>10000000007</v>
      </c>
    </row>
    <row r="260" spans="2:36" ht="15.6" x14ac:dyDescent="0.3">
      <c r="B260" s="88"/>
      <c r="C260" s="76"/>
      <c r="D260" s="88"/>
      <c r="E260" s="88"/>
      <c r="F260" s="76"/>
      <c r="G260" s="76"/>
      <c r="H260" s="76"/>
      <c r="I260" s="89"/>
      <c r="J260" s="89"/>
      <c r="K260" s="76"/>
      <c r="L260" s="76"/>
      <c r="M260" s="76"/>
      <c r="N260" s="76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8"/>
      <c r="AB260" s="77"/>
      <c r="AC260" s="77"/>
      <c r="AD260" s="77"/>
      <c r="AE260" s="77"/>
      <c r="AF260" s="77"/>
      <c r="AG260" s="79"/>
      <c r="AH260" s="82" t="s">
        <v>163</v>
      </c>
      <c r="AI260" s="82" t="s">
        <v>213</v>
      </c>
      <c r="AJ260" s="82">
        <v>10000000008</v>
      </c>
    </row>
    <row r="261" spans="2:36" ht="15.6" x14ac:dyDescent="0.3">
      <c r="B261" s="88"/>
      <c r="C261" s="76"/>
      <c r="D261" s="88"/>
      <c r="E261" s="88"/>
      <c r="F261" s="76"/>
      <c r="G261" s="76"/>
      <c r="H261" s="76"/>
      <c r="I261" s="89"/>
      <c r="J261" s="89"/>
      <c r="K261" s="76"/>
      <c r="L261" s="76"/>
      <c r="M261" s="76"/>
      <c r="N261" s="76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8"/>
      <c r="AB261" s="77"/>
      <c r="AC261" s="77"/>
      <c r="AD261" s="77"/>
      <c r="AE261" s="77"/>
      <c r="AF261" s="77"/>
      <c r="AG261" s="79"/>
      <c r="AH261" s="82" t="s">
        <v>164</v>
      </c>
      <c r="AI261" s="82" t="s">
        <v>214</v>
      </c>
      <c r="AJ261" s="82">
        <v>10000000009</v>
      </c>
    </row>
    <row r="262" spans="2:36" ht="15.6" x14ac:dyDescent="0.3">
      <c r="B262" s="88"/>
      <c r="C262" s="76"/>
      <c r="D262" s="88"/>
      <c r="E262" s="88"/>
      <c r="F262" s="76"/>
      <c r="G262" s="76"/>
      <c r="H262" s="76"/>
      <c r="I262" s="89"/>
      <c r="J262" s="89"/>
      <c r="K262" s="76"/>
      <c r="L262" s="76"/>
      <c r="M262" s="76"/>
      <c r="N262" s="76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8"/>
      <c r="AB262" s="77"/>
      <c r="AC262" s="77"/>
      <c r="AD262" s="77"/>
      <c r="AE262" s="77"/>
      <c r="AF262" s="77"/>
      <c r="AG262" s="79"/>
      <c r="AH262" s="82" t="s">
        <v>165</v>
      </c>
      <c r="AI262" s="82" t="s">
        <v>215</v>
      </c>
      <c r="AJ262" s="82">
        <v>10000000010</v>
      </c>
    </row>
    <row r="263" spans="2:36" ht="15.6" x14ac:dyDescent="0.3">
      <c r="B263" s="88"/>
      <c r="C263" s="76"/>
      <c r="D263" s="88"/>
      <c r="E263" s="88"/>
      <c r="F263" s="76"/>
      <c r="G263" s="76"/>
      <c r="H263" s="76"/>
      <c r="I263" s="89"/>
      <c r="J263" s="89"/>
      <c r="K263" s="76"/>
      <c r="L263" s="76"/>
      <c r="M263" s="76"/>
      <c r="N263" s="76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8"/>
      <c r="AB263" s="77"/>
      <c r="AC263" s="77"/>
      <c r="AD263" s="77"/>
      <c r="AE263" s="77"/>
      <c r="AF263" s="77"/>
      <c r="AG263" s="79"/>
      <c r="AH263" s="82" t="s">
        <v>166</v>
      </c>
      <c r="AI263" s="82" t="s">
        <v>216</v>
      </c>
      <c r="AJ263" s="82">
        <v>10000000011</v>
      </c>
    </row>
    <row r="264" spans="2:36" ht="15.6" x14ac:dyDescent="0.3">
      <c r="B264" s="88"/>
      <c r="C264" s="76"/>
      <c r="D264" s="88"/>
      <c r="E264" s="88"/>
      <c r="F264" s="76"/>
      <c r="G264" s="76"/>
      <c r="H264" s="76"/>
      <c r="I264" s="89"/>
      <c r="J264" s="89"/>
      <c r="K264" s="76"/>
      <c r="L264" s="76"/>
      <c r="M264" s="76"/>
      <c r="N264" s="76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8"/>
      <c r="AB264" s="77"/>
      <c r="AC264" s="77"/>
      <c r="AD264" s="77"/>
      <c r="AE264" s="77"/>
      <c r="AF264" s="77"/>
      <c r="AG264" s="79"/>
      <c r="AH264" s="82" t="s">
        <v>167</v>
      </c>
      <c r="AI264" s="82" t="s">
        <v>217</v>
      </c>
      <c r="AJ264" s="82">
        <v>10000000012</v>
      </c>
    </row>
    <row r="265" spans="2:36" ht="15.6" x14ac:dyDescent="0.3">
      <c r="B265" s="88"/>
      <c r="C265" s="76"/>
      <c r="D265" s="88"/>
      <c r="E265" s="88"/>
      <c r="F265" s="76"/>
      <c r="G265" s="76"/>
      <c r="H265" s="76"/>
      <c r="I265" s="89"/>
      <c r="J265" s="89"/>
      <c r="K265" s="76"/>
      <c r="L265" s="76"/>
      <c r="M265" s="76"/>
      <c r="N265" s="76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8"/>
      <c r="AB265" s="77"/>
      <c r="AC265" s="77"/>
      <c r="AD265" s="77"/>
      <c r="AE265" s="77"/>
      <c r="AF265" s="77"/>
      <c r="AG265" s="79"/>
      <c r="AH265" s="82" t="s">
        <v>168</v>
      </c>
      <c r="AI265" s="82" t="s">
        <v>218</v>
      </c>
      <c r="AJ265" s="82">
        <v>10000000013</v>
      </c>
    </row>
    <row r="266" spans="2:36" ht="15.6" x14ac:dyDescent="0.3">
      <c r="B266" s="88"/>
      <c r="C266" s="76"/>
      <c r="D266" s="88"/>
      <c r="E266" s="88"/>
      <c r="F266" s="76"/>
      <c r="G266" s="76"/>
      <c r="H266" s="76"/>
      <c r="I266" s="89"/>
      <c r="J266" s="89"/>
      <c r="K266" s="76"/>
      <c r="L266" s="76"/>
      <c r="M266" s="76"/>
      <c r="N266" s="76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8"/>
      <c r="AB266" s="77"/>
      <c r="AC266" s="77"/>
      <c r="AD266" s="77"/>
      <c r="AE266" s="77"/>
      <c r="AF266" s="77"/>
      <c r="AG266" s="79"/>
      <c r="AH266" s="82" t="s">
        <v>169</v>
      </c>
      <c r="AI266" s="82" t="s">
        <v>219</v>
      </c>
      <c r="AJ266" s="82">
        <v>10000000014</v>
      </c>
    </row>
    <row r="267" spans="2:36" ht="15.6" x14ac:dyDescent="0.3">
      <c r="B267" s="88"/>
      <c r="C267" s="76"/>
      <c r="D267" s="88"/>
      <c r="E267" s="88"/>
      <c r="F267" s="76"/>
      <c r="G267" s="76"/>
      <c r="H267" s="76"/>
      <c r="I267" s="89"/>
      <c r="J267" s="89"/>
      <c r="K267" s="76"/>
      <c r="L267" s="76"/>
      <c r="M267" s="76"/>
      <c r="N267" s="76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8"/>
      <c r="AB267" s="77"/>
      <c r="AC267" s="77"/>
      <c r="AD267" s="77"/>
      <c r="AE267" s="77"/>
      <c r="AF267" s="77"/>
      <c r="AG267" s="79"/>
      <c r="AH267" s="82" t="s">
        <v>170</v>
      </c>
      <c r="AI267" s="82" t="s">
        <v>220</v>
      </c>
      <c r="AJ267" s="82">
        <v>10000000015</v>
      </c>
    </row>
    <row r="268" spans="2:36" ht="15.6" x14ac:dyDescent="0.3">
      <c r="B268" s="88"/>
      <c r="C268" s="76"/>
      <c r="D268" s="88"/>
      <c r="E268" s="88"/>
      <c r="F268" s="76"/>
      <c r="G268" s="76"/>
      <c r="H268" s="76"/>
      <c r="I268" s="89"/>
      <c r="J268" s="89"/>
      <c r="K268" s="76"/>
      <c r="L268" s="76"/>
      <c r="M268" s="76"/>
      <c r="N268" s="76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8"/>
      <c r="AB268" s="77"/>
      <c r="AC268" s="77"/>
      <c r="AD268" s="77"/>
      <c r="AE268" s="77"/>
      <c r="AF268" s="77"/>
      <c r="AG268" s="79"/>
      <c r="AH268" s="82" t="s">
        <v>171</v>
      </c>
      <c r="AI268" s="82" t="s">
        <v>221</v>
      </c>
      <c r="AJ268" s="82">
        <v>10000000016</v>
      </c>
    </row>
    <row r="269" spans="2:36" ht="15.6" x14ac:dyDescent="0.3">
      <c r="B269" s="88"/>
      <c r="C269" s="76"/>
      <c r="D269" s="88"/>
      <c r="E269" s="88"/>
      <c r="F269" s="76"/>
      <c r="G269" s="76"/>
      <c r="H269" s="76"/>
      <c r="I269" s="89"/>
      <c r="J269" s="89"/>
      <c r="K269" s="76"/>
      <c r="L269" s="76"/>
      <c r="M269" s="76"/>
      <c r="N269" s="76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8"/>
      <c r="AB269" s="77"/>
      <c r="AC269" s="77"/>
      <c r="AD269" s="77"/>
      <c r="AE269" s="77"/>
      <c r="AF269" s="77"/>
      <c r="AG269" s="79"/>
      <c r="AH269" s="82" t="s">
        <v>172</v>
      </c>
      <c r="AI269" s="82" t="s">
        <v>222</v>
      </c>
      <c r="AJ269" s="82">
        <v>10000000017</v>
      </c>
    </row>
    <row r="270" spans="2:36" ht="15.6" x14ac:dyDescent="0.3">
      <c r="B270" s="88"/>
      <c r="C270" s="76"/>
      <c r="D270" s="88"/>
      <c r="E270" s="88"/>
      <c r="F270" s="76"/>
      <c r="G270" s="76"/>
      <c r="H270" s="76"/>
      <c r="I270" s="89"/>
      <c r="J270" s="89"/>
      <c r="K270" s="76"/>
      <c r="L270" s="76"/>
      <c r="M270" s="76"/>
      <c r="N270" s="76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8"/>
      <c r="AB270" s="77"/>
      <c r="AC270" s="77"/>
      <c r="AD270" s="77"/>
      <c r="AE270" s="77"/>
      <c r="AF270" s="77"/>
      <c r="AG270" s="79"/>
      <c r="AH270" s="82" t="s">
        <v>173</v>
      </c>
      <c r="AI270" s="82" t="s">
        <v>223</v>
      </c>
      <c r="AJ270" s="82">
        <v>10000000018</v>
      </c>
    </row>
    <row r="271" spans="2:36" ht="15.6" x14ac:dyDescent="0.3">
      <c r="B271" s="88"/>
      <c r="C271" s="76"/>
      <c r="D271" s="88"/>
      <c r="E271" s="88"/>
      <c r="F271" s="76"/>
      <c r="G271" s="76"/>
      <c r="H271" s="76"/>
      <c r="I271" s="89"/>
      <c r="J271" s="89"/>
      <c r="K271" s="76"/>
      <c r="L271" s="76"/>
      <c r="M271" s="76"/>
      <c r="N271" s="76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8"/>
      <c r="AB271" s="77"/>
      <c r="AC271" s="77"/>
      <c r="AD271" s="77"/>
      <c r="AE271" s="77"/>
      <c r="AF271" s="77"/>
      <c r="AG271" s="79"/>
      <c r="AH271" s="82" t="s">
        <v>174</v>
      </c>
      <c r="AI271" s="82" t="s">
        <v>224</v>
      </c>
      <c r="AJ271" s="82">
        <v>10000000019</v>
      </c>
    </row>
    <row r="272" spans="2:36" ht="15.6" x14ac:dyDescent="0.3">
      <c r="B272" s="88"/>
      <c r="C272" s="76"/>
      <c r="D272" s="88"/>
      <c r="E272" s="88"/>
      <c r="F272" s="76"/>
      <c r="G272" s="76"/>
      <c r="H272" s="76"/>
      <c r="I272" s="89"/>
      <c r="J272" s="89"/>
      <c r="K272" s="76"/>
      <c r="L272" s="76"/>
      <c r="M272" s="76"/>
      <c r="N272" s="76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8"/>
      <c r="AB272" s="77"/>
      <c r="AC272" s="77"/>
      <c r="AD272" s="77"/>
      <c r="AE272" s="77"/>
      <c r="AF272" s="77"/>
      <c r="AG272" s="79"/>
      <c r="AH272" s="82" t="s">
        <v>175</v>
      </c>
      <c r="AI272" s="82" t="s">
        <v>225</v>
      </c>
      <c r="AJ272" s="82">
        <v>10000000020</v>
      </c>
    </row>
    <row r="273" spans="2:36" ht="15.6" x14ac:dyDescent="0.3">
      <c r="B273" s="88"/>
      <c r="C273" s="76"/>
      <c r="D273" s="88"/>
      <c r="E273" s="88"/>
      <c r="F273" s="76"/>
      <c r="G273" s="76"/>
      <c r="H273" s="76"/>
      <c r="I273" s="89"/>
      <c r="J273" s="89"/>
      <c r="K273" s="76"/>
      <c r="L273" s="76"/>
      <c r="M273" s="76"/>
      <c r="N273" s="76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8"/>
      <c r="AB273" s="77"/>
      <c r="AC273" s="77"/>
      <c r="AD273" s="77"/>
      <c r="AE273" s="77"/>
      <c r="AF273" s="77"/>
      <c r="AG273" s="79"/>
      <c r="AH273" s="82" t="s">
        <v>176</v>
      </c>
      <c r="AI273" s="82" t="s">
        <v>226</v>
      </c>
      <c r="AJ273" s="82">
        <v>10000000021</v>
      </c>
    </row>
    <row r="274" spans="2:36" ht="15.6" x14ac:dyDescent="0.3">
      <c r="B274" s="88"/>
      <c r="C274" s="76"/>
      <c r="D274" s="88"/>
      <c r="E274" s="88"/>
      <c r="F274" s="76"/>
      <c r="G274" s="76"/>
      <c r="H274" s="76"/>
      <c r="I274" s="89"/>
      <c r="J274" s="89"/>
      <c r="K274" s="76"/>
      <c r="L274" s="76"/>
      <c r="M274" s="76"/>
      <c r="N274" s="76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8"/>
      <c r="AB274" s="77"/>
      <c r="AC274" s="77"/>
      <c r="AD274" s="77"/>
      <c r="AE274" s="77"/>
      <c r="AF274" s="77"/>
      <c r="AG274" s="79"/>
      <c r="AH274" s="82" t="s">
        <v>177</v>
      </c>
      <c r="AI274" s="82" t="s">
        <v>227</v>
      </c>
      <c r="AJ274" s="82">
        <v>10000000022</v>
      </c>
    </row>
    <row r="275" spans="2:36" ht="15.6" x14ac:dyDescent="0.3">
      <c r="B275" s="88"/>
      <c r="C275" s="76"/>
      <c r="D275" s="88"/>
      <c r="E275" s="88"/>
      <c r="F275" s="76"/>
      <c r="G275" s="76"/>
      <c r="H275" s="76"/>
      <c r="I275" s="89"/>
      <c r="J275" s="89"/>
      <c r="K275" s="76"/>
      <c r="L275" s="76"/>
      <c r="M275" s="76"/>
      <c r="N275" s="76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8"/>
      <c r="AB275" s="77"/>
      <c r="AC275" s="77"/>
      <c r="AD275" s="77"/>
      <c r="AE275" s="77"/>
      <c r="AF275" s="77"/>
      <c r="AG275" s="79"/>
      <c r="AH275" s="82" t="s">
        <v>178</v>
      </c>
      <c r="AI275" s="82" t="s">
        <v>228</v>
      </c>
      <c r="AJ275" s="82">
        <v>10000000023</v>
      </c>
    </row>
    <row r="276" spans="2:36" ht="15.6" x14ac:dyDescent="0.3">
      <c r="B276" s="88"/>
      <c r="C276" s="76"/>
      <c r="D276" s="88"/>
      <c r="E276" s="88"/>
      <c r="F276" s="76"/>
      <c r="G276" s="76"/>
      <c r="H276" s="76"/>
      <c r="I276" s="89"/>
      <c r="J276" s="89"/>
      <c r="K276" s="76"/>
      <c r="L276" s="76"/>
      <c r="M276" s="76"/>
      <c r="N276" s="76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8"/>
      <c r="AB276" s="77"/>
      <c r="AC276" s="77"/>
      <c r="AD276" s="77"/>
      <c r="AE276" s="77"/>
      <c r="AF276" s="77"/>
      <c r="AG276" s="79"/>
      <c r="AH276" s="82" t="s">
        <v>179</v>
      </c>
      <c r="AI276" s="82" t="s">
        <v>229</v>
      </c>
      <c r="AJ276" s="82">
        <v>10000000024</v>
      </c>
    </row>
    <row r="277" spans="2:36" ht="15.6" x14ac:dyDescent="0.3">
      <c r="B277" s="88"/>
      <c r="C277" s="76"/>
      <c r="D277" s="88"/>
      <c r="E277" s="88"/>
      <c r="F277" s="76"/>
      <c r="G277" s="76"/>
      <c r="H277" s="76"/>
      <c r="I277" s="89"/>
      <c r="J277" s="89"/>
      <c r="K277" s="76"/>
      <c r="L277" s="76"/>
      <c r="M277" s="76"/>
      <c r="N277" s="76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8"/>
      <c r="AB277" s="77"/>
      <c r="AC277" s="77"/>
      <c r="AD277" s="77"/>
      <c r="AE277" s="77"/>
      <c r="AF277" s="77"/>
      <c r="AG277" s="79"/>
      <c r="AH277" s="82" t="s">
        <v>180</v>
      </c>
      <c r="AI277" s="82" t="s">
        <v>230</v>
      </c>
      <c r="AJ277" s="82">
        <v>10000000025</v>
      </c>
    </row>
    <row r="278" spans="2:36" ht="15.6" x14ac:dyDescent="0.3">
      <c r="B278" s="88"/>
      <c r="C278" s="76"/>
      <c r="D278" s="88"/>
      <c r="E278" s="88"/>
      <c r="F278" s="76"/>
      <c r="G278" s="76"/>
      <c r="H278" s="76"/>
      <c r="I278" s="89"/>
      <c r="J278" s="89"/>
      <c r="K278" s="76"/>
      <c r="L278" s="76"/>
      <c r="M278" s="76"/>
      <c r="N278" s="76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8"/>
      <c r="AB278" s="77"/>
      <c r="AC278" s="77"/>
      <c r="AD278" s="77"/>
      <c r="AE278" s="77"/>
      <c r="AF278" s="77"/>
      <c r="AG278" s="79"/>
      <c r="AH278" s="82" t="s">
        <v>181</v>
      </c>
      <c r="AI278" s="82" t="s">
        <v>231</v>
      </c>
      <c r="AJ278" s="82">
        <v>10000000026</v>
      </c>
    </row>
    <row r="279" spans="2:36" ht="15.6" x14ac:dyDescent="0.3">
      <c r="B279" s="88"/>
      <c r="C279" s="76"/>
      <c r="D279" s="88"/>
      <c r="E279" s="88"/>
      <c r="F279" s="76"/>
      <c r="G279" s="76"/>
      <c r="H279" s="76"/>
      <c r="I279" s="89"/>
      <c r="J279" s="89"/>
      <c r="K279" s="76"/>
      <c r="L279" s="76"/>
      <c r="M279" s="76"/>
      <c r="N279" s="76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8"/>
      <c r="AB279" s="77"/>
      <c r="AC279" s="77"/>
      <c r="AD279" s="77"/>
      <c r="AE279" s="77"/>
      <c r="AF279" s="77"/>
      <c r="AG279" s="79"/>
      <c r="AH279" s="82" t="s">
        <v>182</v>
      </c>
      <c r="AI279" s="82" t="s">
        <v>232</v>
      </c>
      <c r="AJ279" s="82">
        <v>10000000027</v>
      </c>
    </row>
    <row r="280" spans="2:36" ht="15.6" x14ac:dyDescent="0.3">
      <c r="B280" s="88"/>
      <c r="C280" s="76"/>
      <c r="D280" s="88"/>
      <c r="E280" s="88"/>
      <c r="F280" s="76"/>
      <c r="G280" s="76"/>
      <c r="H280" s="76"/>
      <c r="I280" s="89"/>
      <c r="J280" s="89"/>
      <c r="K280" s="76"/>
      <c r="L280" s="76"/>
      <c r="M280" s="76"/>
      <c r="N280" s="76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8"/>
      <c r="AB280" s="77"/>
      <c r="AC280" s="77"/>
      <c r="AD280" s="77"/>
      <c r="AE280" s="77"/>
      <c r="AF280" s="77"/>
      <c r="AG280" s="79"/>
      <c r="AH280" s="82" t="s">
        <v>183</v>
      </c>
      <c r="AI280" s="82" t="s">
        <v>233</v>
      </c>
      <c r="AJ280" s="82">
        <v>10000000028</v>
      </c>
    </row>
    <row r="281" spans="2:36" ht="15.6" x14ac:dyDescent="0.3">
      <c r="B281" s="88"/>
      <c r="C281" s="76"/>
      <c r="D281" s="88"/>
      <c r="E281" s="88"/>
      <c r="F281" s="76"/>
      <c r="G281" s="76"/>
      <c r="H281" s="76"/>
      <c r="I281" s="89"/>
      <c r="J281" s="89"/>
      <c r="K281" s="76"/>
      <c r="L281" s="76"/>
      <c r="M281" s="76"/>
      <c r="N281" s="76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8"/>
      <c r="AB281" s="77"/>
      <c r="AC281" s="77"/>
      <c r="AD281" s="77"/>
      <c r="AE281" s="77"/>
      <c r="AF281" s="77"/>
      <c r="AG281" s="79"/>
      <c r="AH281" s="82" t="s">
        <v>184</v>
      </c>
      <c r="AI281" s="82" t="s">
        <v>234</v>
      </c>
      <c r="AJ281" s="82">
        <v>10000000029</v>
      </c>
    </row>
    <row r="282" spans="2:36" ht="15.6" x14ac:dyDescent="0.3">
      <c r="B282" s="88"/>
      <c r="C282" s="76"/>
      <c r="D282" s="88"/>
      <c r="E282" s="88"/>
      <c r="F282" s="76"/>
      <c r="G282" s="76"/>
      <c r="H282" s="76"/>
      <c r="I282" s="89"/>
      <c r="J282" s="89"/>
      <c r="K282" s="76"/>
      <c r="L282" s="76"/>
      <c r="M282" s="76"/>
      <c r="N282" s="76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8"/>
      <c r="AB282" s="77"/>
      <c r="AC282" s="77"/>
      <c r="AD282" s="77"/>
      <c r="AE282" s="77"/>
      <c r="AF282" s="77"/>
      <c r="AG282" s="79"/>
      <c r="AH282" s="82" t="s">
        <v>185</v>
      </c>
      <c r="AI282" s="82" t="s">
        <v>235</v>
      </c>
      <c r="AJ282" s="82">
        <v>10000000030</v>
      </c>
    </row>
    <row r="283" spans="2:36" ht="15.6" x14ac:dyDescent="0.3">
      <c r="B283" s="88"/>
      <c r="C283" s="76"/>
      <c r="D283" s="88"/>
      <c r="E283" s="88"/>
      <c r="F283" s="76"/>
      <c r="G283" s="76"/>
      <c r="H283" s="76"/>
      <c r="I283" s="89"/>
      <c r="J283" s="89"/>
      <c r="K283" s="76"/>
      <c r="L283" s="76"/>
      <c r="M283" s="76"/>
      <c r="N283" s="76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8"/>
      <c r="AB283" s="77"/>
      <c r="AC283" s="77"/>
      <c r="AD283" s="77"/>
      <c r="AE283" s="77"/>
      <c r="AF283" s="77"/>
      <c r="AG283" s="79"/>
      <c r="AH283" s="82" t="s">
        <v>186</v>
      </c>
      <c r="AI283" s="82" t="s">
        <v>236</v>
      </c>
      <c r="AJ283" s="82">
        <v>10000000031</v>
      </c>
    </row>
    <row r="284" spans="2:36" ht="15.6" x14ac:dyDescent="0.3">
      <c r="B284" s="88"/>
      <c r="C284" s="76"/>
      <c r="D284" s="88"/>
      <c r="E284" s="88"/>
      <c r="F284" s="76"/>
      <c r="G284" s="76"/>
      <c r="H284" s="76"/>
      <c r="I284" s="89"/>
      <c r="J284" s="89"/>
      <c r="K284" s="76"/>
      <c r="L284" s="76"/>
      <c r="M284" s="76"/>
      <c r="N284" s="76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8"/>
      <c r="AB284" s="77"/>
      <c r="AC284" s="77"/>
      <c r="AD284" s="77"/>
      <c r="AE284" s="77"/>
      <c r="AF284" s="77"/>
      <c r="AG284" s="79"/>
      <c r="AH284" s="82" t="s">
        <v>187</v>
      </c>
      <c r="AI284" s="82" t="s">
        <v>237</v>
      </c>
      <c r="AJ284" s="82">
        <v>10000000032</v>
      </c>
    </row>
    <row r="285" spans="2:36" ht="15.6" x14ac:dyDescent="0.3">
      <c r="B285" s="88"/>
      <c r="C285" s="76"/>
      <c r="D285" s="88"/>
      <c r="E285" s="88"/>
      <c r="F285" s="76"/>
      <c r="G285" s="76"/>
      <c r="H285" s="76"/>
      <c r="I285" s="89"/>
      <c r="J285" s="89"/>
      <c r="K285" s="76"/>
      <c r="L285" s="76"/>
      <c r="M285" s="76"/>
      <c r="N285" s="76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8"/>
      <c r="AB285" s="77"/>
      <c r="AC285" s="77"/>
      <c r="AD285" s="77"/>
      <c r="AE285" s="77"/>
      <c r="AF285" s="77"/>
      <c r="AG285" s="79"/>
      <c r="AH285" s="82" t="s">
        <v>188</v>
      </c>
      <c r="AI285" s="82" t="s">
        <v>238</v>
      </c>
      <c r="AJ285" s="82">
        <v>10000000033</v>
      </c>
    </row>
    <row r="286" spans="2:36" ht="15.6" x14ac:dyDescent="0.3">
      <c r="B286" s="88"/>
      <c r="C286" s="76"/>
      <c r="D286" s="88"/>
      <c r="E286" s="88"/>
      <c r="F286" s="76"/>
      <c r="G286" s="76"/>
      <c r="H286" s="76"/>
      <c r="I286" s="89"/>
      <c r="J286" s="89"/>
      <c r="K286" s="76"/>
      <c r="L286" s="76"/>
      <c r="M286" s="76"/>
      <c r="N286" s="76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8"/>
      <c r="AB286" s="77"/>
      <c r="AC286" s="77"/>
      <c r="AD286" s="77"/>
      <c r="AE286" s="77"/>
      <c r="AF286" s="77"/>
      <c r="AG286" s="79"/>
      <c r="AH286" s="82" t="s">
        <v>189</v>
      </c>
      <c r="AI286" s="82" t="s">
        <v>239</v>
      </c>
      <c r="AJ286" s="82">
        <v>10000000034</v>
      </c>
    </row>
    <row r="287" spans="2:36" ht="15.6" x14ac:dyDescent="0.3">
      <c r="B287" s="88"/>
      <c r="C287" s="76"/>
      <c r="D287" s="88"/>
      <c r="E287" s="88"/>
      <c r="F287" s="76"/>
      <c r="G287" s="76"/>
      <c r="H287" s="76"/>
      <c r="I287" s="89"/>
      <c r="J287" s="89"/>
      <c r="K287" s="76"/>
      <c r="L287" s="76"/>
      <c r="M287" s="76"/>
      <c r="N287" s="76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8"/>
      <c r="AB287" s="77"/>
      <c r="AC287" s="77"/>
      <c r="AD287" s="77"/>
      <c r="AE287" s="77"/>
      <c r="AF287" s="77"/>
      <c r="AG287" s="79"/>
      <c r="AH287" s="82" t="s">
        <v>190</v>
      </c>
      <c r="AI287" s="82" t="s">
        <v>240</v>
      </c>
      <c r="AJ287" s="82">
        <v>10000000035</v>
      </c>
    </row>
    <row r="288" spans="2:36" ht="15.6" x14ac:dyDescent="0.3">
      <c r="B288" s="88"/>
      <c r="C288" s="76"/>
      <c r="D288" s="88"/>
      <c r="E288" s="88"/>
      <c r="F288" s="76"/>
      <c r="G288" s="76"/>
      <c r="H288" s="76"/>
      <c r="I288" s="89"/>
      <c r="J288" s="89"/>
      <c r="K288" s="76"/>
      <c r="L288" s="76"/>
      <c r="M288" s="76"/>
      <c r="N288" s="76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8"/>
      <c r="AB288" s="77"/>
      <c r="AC288" s="77"/>
      <c r="AD288" s="77"/>
      <c r="AE288" s="77"/>
      <c r="AF288" s="77"/>
      <c r="AG288" s="79"/>
      <c r="AH288" s="82" t="s">
        <v>191</v>
      </c>
      <c r="AI288" s="82" t="s">
        <v>241</v>
      </c>
      <c r="AJ288" s="82">
        <v>10000000036</v>
      </c>
    </row>
    <row r="289" spans="2:36" ht="15.6" x14ac:dyDescent="0.3">
      <c r="B289" s="88"/>
      <c r="C289" s="76"/>
      <c r="D289" s="88"/>
      <c r="E289" s="88"/>
      <c r="F289" s="76"/>
      <c r="G289" s="76"/>
      <c r="H289" s="76"/>
      <c r="I289" s="89"/>
      <c r="J289" s="89"/>
      <c r="K289" s="76"/>
      <c r="L289" s="76"/>
      <c r="M289" s="76"/>
      <c r="N289" s="76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8"/>
      <c r="AB289" s="77"/>
      <c r="AC289" s="77"/>
      <c r="AD289" s="77"/>
      <c r="AE289" s="77"/>
      <c r="AF289" s="77"/>
      <c r="AG289" s="79"/>
      <c r="AH289" s="82" t="s">
        <v>192</v>
      </c>
      <c r="AI289" s="82" t="s">
        <v>242</v>
      </c>
      <c r="AJ289" s="82">
        <v>10000000037</v>
      </c>
    </row>
    <row r="290" spans="2:36" ht="15.6" x14ac:dyDescent="0.3">
      <c r="B290" s="88"/>
      <c r="C290" s="76"/>
      <c r="D290" s="88"/>
      <c r="E290" s="88"/>
      <c r="F290" s="76"/>
      <c r="G290" s="76"/>
      <c r="H290" s="76"/>
      <c r="I290" s="89"/>
      <c r="J290" s="89"/>
      <c r="K290" s="76"/>
      <c r="L290" s="76"/>
      <c r="M290" s="76"/>
      <c r="N290" s="76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8"/>
      <c r="AB290" s="77"/>
      <c r="AC290" s="77"/>
      <c r="AD290" s="77"/>
      <c r="AE290" s="77"/>
      <c r="AF290" s="77"/>
      <c r="AG290" s="79"/>
      <c r="AH290" s="82" t="s">
        <v>193</v>
      </c>
      <c r="AI290" s="82" t="s">
        <v>243</v>
      </c>
      <c r="AJ290" s="82">
        <v>10000000038</v>
      </c>
    </row>
    <row r="291" spans="2:36" ht="15.6" x14ac:dyDescent="0.3">
      <c r="B291" s="88"/>
      <c r="C291" s="76"/>
      <c r="D291" s="88"/>
      <c r="E291" s="88"/>
      <c r="F291" s="76"/>
      <c r="G291" s="76"/>
      <c r="H291" s="76"/>
      <c r="I291" s="89"/>
      <c r="J291" s="89"/>
      <c r="K291" s="76"/>
      <c r="L291" s="76"/>
      <c r="M291" s="76"/>
      <c r="N291" s="76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8"/>
      <c r="AB291" s="77"/>
      <c r="AC291" s="77"/>
      <c r="AD291" s="77"/>
      <c r="AE291" s="77"/>
      <c r="AF291" s="77"/>
      <c r="AG291" s="79"/>
      <c r="AH291" s="82" t="s">
        <v>194</v>
      </c>
      <c r="AI291" s="82" t="s">
        <v>244</v>
      </c>
      <c r="AJ291" s="82">
        <v>10000000039</v>
      </c>
    </row>
    <row r="292" spans="2:36" ht="15.6" x14ac:dyDescent="0.3">
      <c r="B292" s="88"/>
      <c r="C292" s="76"/>
      <c r="D292" s="88"/>
      <c r="E292" s="88"/>
      <c r="F292" s="76"/>
      <c r="G292" s="76"/>
      <c r="H292" s="76"/>
      <c r="I292" s="89"/>
      <c r="J292" s="89"/>
      <c r="K292" s="76"/>
      <c r="L292" s="76"/>
      <c r="M292" s="76"/>
      <c r="N292" s="76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8"/>
      <c r="AB292" s="77"/>
      <c r="AC292" s="77"/>
      <c r="AD292" s="77"/>
      <c r="AE292" s="77"/>
      <c r="AF292" s="77"/>
      <c r="AG292" s="79"/>
      <c r="AH292" s="82" t="s">
        <v>195</v>
      </c>
      <c r="AI292" s="82" t="s">
        <v>245</v>
      </c>
      <c r="AJ292" s="82">
        <v>10000000040</v>
      </c>
    </row>
    <row r="293" spans="2:36" ht="15.6" x14ac:dyDescent="0.3">
      <c r="B293" s="88"/>
      <c r="C293" s="76"/>
      <c r="D293" s="88"/>
      <c r="E293" s="88"/>
      <c r="F293" s="76"/>
      <c r="G293" s="76"/>
      <c r="H293" s="76"/>
      <c r="I293" s="89"/>
      <c r="J293" s="89"/>
      <c r="K293" s="76"/>
      <c r="L293" s="76"/>
      <c r="M293" s="76"/>
      <c r="N293" s="76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8"/>
      <c r="AB293" s="77"/>
      <c r="AC293" s="77"/>
      <c r="AD293" s="77"/>
      <c r="AE293" s="77"/>
      <c r="AF293" s="77"/>
      <c r="AG293" s="79"/>
      <c r="AH293" s="82" t="s">
        <v>196</v>
      </c>
      <c r="AI293" s="82" t="s">
        <v>246</v>
      </c>
      <c r="AJ293" s="82">
        <v>10000000041</v>
      </c>
    </row>
    <row r="294" spans="2:36" ht="15.6" x14ac:dyDescent="0.3">
      <c r="B294" s="88"/>
      <c r="C294" s="76"/>
      <c r="D294" s="88"/>
      <c r="E294" s="88"/>
      <c r="F294" s="76"/>
      <c r="G294" s="76"/>
      <c r="H294" s="76"/>
      <c r="I294" s="89"/>
      <c r="J294" s="89"/>
      <c r="K294" s="76"/>
      <c r="L294" s="76"/>
      <c r="M294" s="76"/>
      <c r="N294" s="76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8"/>
      <c r="AB294" s="77"/>
      <c r="AC294" s="77"/>
      <c r="AD294" s="77"/>
      <c r="AE294" s="77"/>
      <c r="AF294" s="77"/>
      <c r="AG294" s="79"/>
      <c r="AH294" s="82" t="s">
        <v>197</v>
      </c>
      <c r="AI294" s="82" t="s">
        <v>247</v>
      </c>
      <c r="AJ294" s="82">
        <v>10000000042</v>
      </c>
    </row>
    <row r="295" spans="2:36" ht="15.6" x14ac:dyDescent="0.3">
      <c r="B295" s="88"/>
      <c r="C295" s="76"/>
      <c r="D295" s="88"/>
      <c r="E295" s="88"/>
      <c r="F295" s="76"/>
      <c r="G295" s="76"/>
      <c r="H295" s="76"/>
      <c r="I295" s="89"/>
      <c r="J295" s="89"/>
      <c r="K295" s="76"/>
      <c r="L295" s="76"/>
      <c r="M295" s="76"/>
      <c r="N295" s="76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8"/>
      <c r="AB295" s="77"/>
      <c r="AC295" s="77"/>
      <c r="AD295" s="77"/>
      <c r="AE295" s="77"/>
      <c r="AF295" s="77"/>
      <c r="AG295" s="79"/>
      <c r="AH295" s="82" t="s">
        <v>198</v>
      </c>
      <c r="AI295" s="82" t="s">
        <v>248</v>
      </c>
      <c r="AJ295" s="82">
        <v>10000000043</v>
      </c>
    </row>
    <row r="296" spans="2:36" ht="15.6" x14ac:dyDescent="0.3">
      <c r="B296" s="88"/>
      <c r="C296" s="76"/>
      <c r="D296" s="88"/>
      <c r="E296" s="88"/>
      <c r="F296" s="76"/>
      <c r="G296" s="76"/>
      <c r="H296" s="76"/>
      <c r="I296" s="89"/>
      <c r="J296" s="89"/>
      <c r="K296" s="76"/>
      <c r="L296" s="76"/>
      <c r="M296" s="76"/>
      <c r="N296" s="76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8"/>
      <c r="AB296" s="77"/>
      <c r="AC296" s="77"/>
      <c r="AD296" s="77"/>
      <c r="AE296" s="77"/>
      <c r="AF296" s="77"/>
      <c r="AG296" s="79"/>
      <c r="AH296" s="82" t="s">
        <v>199</v>
      </c>
      <c r="AI296" s="82" t="s">
        <v>249</v>
      </c>
      <c r="AJ296" s="82">
        <v>10000000044</v>
      </c>
    </row>
    <row r="297" spans="2:36" ht="15.6" x14ac:dyDescent="0.3">
      <c r="B297" s="88"/>
      <c r="C297" s="76"/>
      <c r="D297" s="88"/>
      <c r="E297" s="88"/>
      <c r="F297" s="76"/>
      <c r="G297" s="76"/>
      <c r="H297" s="76"/>
      <c r="I297" s="89"/>
      <c r="J297" s="89"/>
      <c r="K297" s="76"/>
      <c r="L297" s="76"/>
      <c r="M297" s="76"/>
      <c r="N297" s="76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8"/>
      <c r="AB297" s="77"/>
      <c r="AC297" s="77"/>
      <c r="AD297" s="77"/>
      <c r="AE297" s="77"/>
      <c r="AF297" s="77"/>
      <c r="AG297" s="79"/>
      <c r="AH297" s="82" t="s">
        <v>200</v>
      </c>
      <c r="AI297" s="82" t="s">
        <v>250</v>
      </c>
      <c r="AJ297" s="82">
        <v>10000000045</v>
      </c>
    </row>
    <row r="298" spans="2:36" ht="15.6" x14ac:dyDescent="0.3">
      <c r="B298" s="88"/>
      <c r="C298" s="76"/>
      <c r="D298" s="88"/>
      <c r="E298" s="88"/>
      <c r="F298" s="76"/>
      <c r="G298" s="76"/>
      <c r="H298" s="76"/>
      <c r="I298" s="89"/>
      <c r="J298" s="89"/>
      <c r="K298" s="76"/>
      <c r="L298" s="76"/>
      <c r="M298" s="76"/>
      <c r="N298" s="76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8"/>
      <c r="AB298" s="77"/>
      <c r="AC298" s="77"/>
      <c r="AD298" s="77"/>
      <c r="AE298" s="77"/>
      <c r="AF298" s="77"/>
      <c r="AG298" s="79"/>
      <c r="AH298" s="82" t="s">
        <v>201</v>
      </c>
      <c r="AI298" s="82" t="s">
        <v>251</v>
      </c>
      <c r="AJ298" s="82">
        <v>10000000046</v>
      </c>
    </row>
    <row r="299" spans="2:36" ht="15.6" x14ac:dyDescent="0.3">
      <c r="B299" s="88"/>
      <c r="C299" s="76"/>
      <c r="D299" s="88"/>
      <c r="E299" s="88"/>
      <c r="F299" s="76"/>
      <c r="G299" s="76"/>
      <c r="H299" s="76"/>
      <c r="I299" s="89"/>
      <c r="J299" s="89"/>
      <c r="K299" s="76"/>
      <c r="L299" s="76"/>
      <c r="M299" s="76"/>
      <c r="N299" s="76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8"/>
      <c r="AB299" s="77"/>
      <c r="AC299" s="77"/>
      <c r="AD299" s="77"/>
      <c r="AE299" s="77"/>
      <c r="AF299" s="77"/>
      <c r="AG299" s="79"/>
      <c r="AH299" s="82" t="s">
        <v>202</v>
      </c>
      <c r="AI299" s="82" t="s">
        <v>252</v>
      </c>
      <c r="AJ299" s="82">
        <v>10000000047</v>
      </c>
    </row>
    <row r="300" spans="2:36" ht="15.6" x14ac:dyDescent="0.3">
      <c r="B300" s="88"/>
      <c r="C300" s="76"/>
      <c r="D300" s="88"/>
      <c r="E300" s="88"/>
      <c r="F300" s="76"/>
      <c r="G300" s="76"/>
      <c r="H300" s="76"/>
      <c r="I300" s="89"/>
      <c r="J300" s="89"/>
      <c r="K300" s="76"/>
      <c r="L300" s="76"/>
      <c r="M300" s="76"/>
      <c r="N300" s="76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8"/>
      <c r="AB300" s="77"/>
      <c r="AC300" s="77"/>
      <c r="AD300" s="77"/>
      <c r="AE300" s="77"/>
      <c r="AF300" s="77"/>
      <c r="AG300" s="79"/>
      <c r="AH300" s="82" t="s">
        <v>203</v>
      </c>
      <c r="AI300" s="82" t="s">
        <v>253</v>
      </c>
      <c r="AJ300" s="82">
        <v>10000000048</v>
      </c>
    </row>
    <row r="301" spans="2:36" ht="15.6" x14ac:dyDescent="0.3">
      <c r="B301" s="88"/>
      <c r="C301" s="76"/>
      <c r="D301" s="88"/>
      <c r="E301" s="88"/>
      <c r="F301" s="76"/>
      <c r="G301" s="76"/>
      <c r="H301" s="76"/>
      <c r="I301" s="89"/>
      <c r="J301" s="89"/>
      <c r="K301" s="76"/>
      <c r="L301" s="76"/>
      <c r="M301" s="76"/>
      <c r="N301" s="76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8"/>
      <c r="AB301" s="77"/>
      <c r="AC301" s="77"/>
      <c r="AD301" s="77"/>
      <c r="AE301" s="77"/>
      <c r="AF301" s="77"/>
      <c r="AG301" s="79"/>
      <c r="AH301" s="82" t="s">
        <v>204</v>
      </c>
      <c r="AI301" s="82" t="s">
        <v>254</v>
      </c>
      <c r="AJ301" s="82">
        <v>10000000049</v>
      </c>
    </row>
    <row r="302" spans="2:36" ht="15.6" x14ac:dyDescent="0.3">
      <c r="B302" s="88"/>
      <c r="C302" s="76"/>
      <c r="D302" s="88"/>
      <c r="E302" s="88"/>
      <c r="F302" s="76"/>
      <c r="G302" s="76"/>
      <c r="H302" s="76"/>
      <c r="I302" s="89"/>
      <c r="J302" s="89"/>
      <c r="K302" s="76"/>
      <c r="L302" s="76"/>
      <c r="M302" s="76"/>
      <c r="N302" s="76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8"/>
      <c r="AB302" s="77"/>
      <c r="AC302" s="77"/>
      <c r="AD302" s="77"/>
      <c r="AE302" s="77"/>
      <c r="AF302" s="77"/>
      <c r="AG302" s="79"/>
      <c r="AH302" s="82" t="s">
        <v>205</v>
      </c>
      <c r="AI302" s="82" t="s">
        <v>255</v>
      </c>
      <c r="AJ302" s="82">
        <v>10000000050</v>
      </c>
    </row>
    <row r="303" spans="2:36" ht="15.6" x14ac:dyDescent="0.3">
      <c r="B303" s="88"/>
      <c r="C303" s="76"/>
      <c r="D303" s="88"/>
      <c r="E303" s="88"/>
      <c r="F303" s="76"/>
      <c r="G303" s="76"/>
      <c r="H303" s="76"/>
      <c r="I303" s="89"/>
      <c r="J303" s="89"/>
      <c r="K303" s="76"/>
      <c r="L303" s="76"/>
      <c r="M303" s="76"/>
      <c r="N303" s="76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8"/>
      <c r="AB303" s="77"/>
      <c r="AC303" s="77"/>
      <c r="AD303" s="77"/>
      <c r="AE303" s="77"/>
      <c r="AF303" s="77"/>
      <c r="AG303" s="79"/>
      <c r="AH303" s="82" t="s">
        <v>156</v>
      </c>
      <c r="AI303" s="82" t="s">
        <v>206</v>
      </c>
      <c r="AJ303" s="82">
        <v>10000000001</v>
      </c>
    </row>
    <row r="304" spans="2:36" ht="15.6" x14ac:dyDescent="0.3">
      <c r="B304" s="88"/>
      <c r="C304" s="76"/>
      <c r="D304" s="88"/>
      <c r="E304" s="88"/>
      <c r="F304" s="76"/>
      <c r="G304" s="76"/>
      <c r="H304" s="76"/>
      <c r="I304" s="89"/>
      <c r="J304" s="89"/>
      <c r="K304" s="76"/>
      <c r="L304" s="76"/>
      <c r="M304" s="76"/>
      <c r="N304" s="76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8"/>
      <c r="AB304" s="77"/>
      <c r="AC304" s="77"/>
      <c r="AD304" s="77"/>
      <c r="AE304" s="77"/>
      <c r="AF304" s="77"/>
      <c r="AG304" s="79"/>
      <c r="AH304" s="82" t="s">
        <v>157</v>
      </c>
      <c r="AI304" s="82" t="s">
        <v>207</v>
      </c>
      <c r="AJ304" s="82">
        <v>10000000002</v>
      </c>
    </row>
    <row r="305" spans="2:36" ht="15.6" x14ac:dyDescent="0.3">
      <c r="B305" s="88"/>
      <c r="C305" s="76"/>
      <c r="D305" s="88"/>
      <c r="E305" s="88"/>
      <c r="F305" s="76"/>
      <c r="G305" s="76"/>
      <c r="H305" s="76"/>
      <c r="I305" s="89"/>
      <c r="J305" s="89"/>
      <c r="K305" s="76"/>
      <c r="L305" s="76"/>
      <c r="M305" s="76"/>
      <c r="N305" s="76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8"/>
      <c r="AB305" s="77"/>
      <c r="AC305" s="77"/>
      <c r="AD305" s="77"/>
      <c r="AE305" s="77"/>
      <c r="AF305" s="77"/>
      <c r="AG305" s="79"/>
      <c r="AH305" s="82" t="s">
        <v>158</v>
      </c>
      <c r="AI305" s="82" t="s">
        <v>208</v>
      </c>
      <c r="AJ305" s="82">
        <v>10000000003</v>
      </c>
    </row>
    <row r="306" spans="2:36" ht="15.6" x14ac:dyDescent="0.3">
      <c r="B306" s="88"/>
      <c r="C306" s="76"/>
      <c r="D306" s="88"/>
      <c r="E306" s="88"/>
      <c r="F306" s="76"/>
      <c r="G306" s="76"/>
      <c r="H306" s="76"/>
      <c r="I306" s="89"/>
      <c r="J306" s="89"/>
      <c r="K306" s="76"/>
      <c r="L306" s="76"/>
      <c r="M306" s="76"/>
      <c r="N306" s="76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8"/>
      <c r="AB306" s="77"/>
      <c r="AC306" s="77"/>
      <c r="AD306" s="77"/>
      <c r="AE306" s="77"/>
      <c r="AF306" s="77"/>
      <c r="AG306" s="79"/>
      <c r="AH306" s="82" t="s">
        <v>159</v>
      </c>
      <c r="AI306" s="82" t="s">
        <v>209</v>
      </c>
      <c r="AJ306" s="82">
        <v>10000000004</v>
      </c>
    </row>
    <row r="307" spans="2:36" ht="15.6" x14ac:dyDescent="0.3">
      <c r="B307" s="88"/>
      <c r="C307" s="76"/>
      <c r="D307" s="88"/>
      <c r="E307" s="88"/>
      <c r="F307" s="76"/>
      <c r="G307" s="76"/>
      <c r="H307" s="76"/>
      <c r="I307" s="89"/>
      <c r="J307" s="89"/>
      <c r="K307" s="76"/>
      <c r="L307" s="76"/>
      <c r="M307" s="76"/>
      <c r="N307" s="76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8"/>
      <c r="AB307" s="77"/>
      <c r="AC307" s="77"/>
      <c r="AD307" s="77"/>
      <c r="AE307" s="77"/>
      <c r="AF307" s="77"/>
      <c r="AG307" s="79"/>
      <c r="AH307" s="82" t="s">
        <v>160</v>
      </c>
      <c r="AI307" s="82" t="s">
        <v>210</v>
      </c>
      <c r="AJ307" s="82">
        <v>10000000005</v>
      </c>
    </row>
    <row r="308" spans="2:36" ht="15.6" x14ac:dyDescent="0.3">
      <c r="B308" s="88"/>
      <c r="C308" s="76"/>
      <c r="D308" s="88"/>
      <c r="E308" s="88"/>
      <c r="F308" s="76"/>
      <c r="G308" s="76"/>
      <c r="H308" s="76"/>
      <c r="I308" s="89"/>
      <c r="J308" s="89"/>
      <c r="K308" s="76"/>
      <c r="L308" s="76"/>
      <c r="M308" s="76"/>
      <c r="N308" s="76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8"/>
      <c r="AB308" s="77"/>
      <c r="AC308" s="77"/>
      <c r="AD308" s="77"/>
      <c r="AE308" s="77"/>
      <c r="AF308" s="77"/>
      <c r="AG308" s="79"/>
      <c r="AH308" s="82" t="s">
        <v>161</v>
      </c>
      <c r="AI308" s="82" t="s">
        <v>211</v>
      </c>
      <c r="AJ308" s="82">
        <v>10000000006</v>
      </c>
    </row>
    <row r="309" spans="2:36" ht="15.6" x14ac:dyDescent="0.3">
      <c r="B309" s="88"/>
      <c r="C309" s="76"/>
      <c r="D309" s="88"/>
      <c r="E309" s="88"/>
      <c r="F309" s="76"/>
      <c r="G309" s="76"/>
      <c r="H309" s="76"/>
      <c r="I309" s="89"/>
      <c r="J309" s="89"/>
      <c r="K309" s="76"/>
      <c r="L309" s="76"/>
      <c r="M309" s="76"/>
      <c r="N309" s="76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8"/>
      <c r="AB309" s="77"/>
      <c r="AC309" s="77"/>
      <c r="AD309" s="77"/>
      <c r="AE309" s="77"/>
      <c r="AF309" s="77"/>
      <c r="AG309" s="79"/>
      <c r="AH309" s="82" t="s">
        <v>162</v>
      </c>
      <c r="AI309" s="82" t="s">
        <v>212</v>
      </c>
      <c r="AJ309" s="82">
        <v>10000000007</v>
      </c>
    </row>
    <row r="310" spans="2:36" ht="15.6" x14ac:dyDescent="0.3">
      <c r="B310" s="88"/>
      <c r="C310" s="76"/>
      <c r="D310" s="88"/>
      <c r="E310" s="88"/>
      <c r="F310" s="76"/>
      <c r="G310" s="76"/>
      <c r="H310" s="76"/>
      <c r="I310" s="89"/>
      <c r="J310" s="89"/>
      <c r="K310" s="76"/>
      <c r="L310" s="76"/>
      <c r="M310" s="76"/>
      <c r="N310" s="76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8"/>
      <c r="AB310" s="77"/>
      <c r="AC310" s="77"/>
      <c r="AD310" s="77"/>
      <c r="AE310" s="77"/>
      <c r="AF310" s="77"/>
      <c r="AG310" s="79"/>
      <c r="AH310" s="82" t="s">
        <v>163</v>
      </c>
      <c r="AI310" s="82" t="s">
        <v>213</v>
      </c>
      <c r="AJ310" s="82">
        <v>10000000008</v>
      </c>
    </row>
    <row r="311" spans="2:36" ht="15.6" x14ac:dyDescent="0.3">
      <c r="B311" s="88"/>
      <c r="C311" s="76"/>
      <c r="D311" s="88"/>
      <c r="E311" s="88"/>
      <c r="F311" s="76"/>
      <c r="G311" s="76"/>
      <c r="H311" s="76"/>
      <c r="I311" s="89"/>
      <c r="J311" s="89"/>
      <c r="K311" s="76"/>
      <c r="L311" s="76"/>
      <c r="M311" s="76"/>
      <c r="N311" s="76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8"/>
      <c r="AB311" s="77"/>
      <c r="AC311" s="77"/>
      <c r="AD311" s="77"/>
      <c r="AE311" s="77"/>
      <c r="AF311" s="77"/>
      <c r="AG311" s="79"/>
      <c r="AH311" s="82" t="s">
        <v>164</v>
      </c>
      <c r="AI311" s="82" t="s">
        <v>214</v>
      </c>
      <c r="AJ311" s="82">
        <v>10000000009</v>
      </c>
    </row>
    <row r="312" spans="2:36" ht="15.6" x14ac:dyDescent="0.3">
      <c r="B312" s="88"/>
      <c r="C312" s="76"/>
      <c r="D312" s="88"/>
      <c r="E312" s="88"/>
      <c r="F312" s="76"/>
      <c r="G312" s="76"/>
      <c r="H312" s="76"/>
      <c r="I312" s="89"/>
      <c r="J312" s="89"/>
      <c r="K312" s="76"/>
      <c r="L312" s="76"/>
      <c r="M312" s="76"/>
      <c r="N312" s="76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8"/>
      <c r="AB312" s="77"/>
      <c r="AC312" s="77"/>
      <c r="AD312" s="77"/>
      <c r="AE312" s="77"/>
      <c r="AF312" s="77"/>
      <c r="AG312" s="79"/>
      <c r="AH312" s="82" t="s">
        <v>165</v>
      </c>
      <c r="AI312" s="82" t="s">
        <v>215</v>
      </c>
      <c r="AJ312" s="82">
        <v>10000000010</v>
      </c>
    </row>
    <row r="313" spans="2:36" ht="15.6" x14ac:dyDescent="0.3">
      <c r="B313" s="88"/>
      <c r="C313" s="76"/>
      <c r="D313" s="88"/>
      <c r="E313" s="88"/>
      <c r="F313" s="76"/>
      <c r="G313" s="76"/>
      <c r="H313" s="76"/>
      <c r="I313" s="89"/>
      <c r="J313" s="89"/>
      <c r="K313" s="76"/>
      <c r="L313" s="76"/>
      <c r="M313" s="76"/>
      <c r="N313" s="76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8"/>
      <c r="AB313" s="77"/>
      <c r="AC313" s="77"/>
      <c r="AD313" s="77"/>
      <c r="AE313" s="77"/>
      <c r="AF313" s="77"/>
      <c r="AG313" s="79"/>
      <c r="AH313" s="82" t="s">
        <v>166</v>
      </c>
      <c r="AI313" s="82" t="s">
        <v>216</v>
      </c>
      <c r="AJ313" s="82">
        <v>10000000011</v>
      </c>
    </row>
    <row r="314" spans="2:36" ht="15.6" x14ac:dyDescent="0.3">
      <c r="B314" s="88"/>
      <c r="C314" s="76"/>
      <c r="D314" s="88"/>
      <c r="E314" s="88"/>
      <c r="F314" s="76"/>
      <c r="G314" s="76"/>
      <c r="H314" s="76"/>
      <c r="I314" s="89"/>
      <c r="J314" s="89"/>
      <c r="K314" s="76"/>
      <c r="L314" s="76"/>
      <c r="M314" s="76"/>
      <c r="N314" s="76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8"/>
      <c r="AB314" s="77"/>
      <c r="AC314" s="77"/>
      <c r="AD314" s="77"/>
      <c r="AE314" s="77"/>
      <c r="AF314" s="77"/>
      <c r="AG314" s="79"/>
      <c r="AH314" s="82" t="s">
        <v>167</v>
      </c>
      <c r="AI314" s="82" t="s">
        <v>217</v>
      </c>
      <c r="AJ314" s="82">
        <v>10000000012</v>
      </c>
    </row>
    <row r="315" spans="2:36" ht="15.6" x14ac:dyDescent="0.3">
      <c r="B315" s="88"/>
      <c r="C315" s="76"/>
      <c r="D315" s="88"/>
      <c r="E315" s="88"/>
      <c r="F315" s="76"/>
      <c r="G315" s="76"/>
      <c r="H315" s="76"/>
      <c r="I315" s="89"/>
      <c r="J315" s="89"/>
      <c r="K315" s="76"/>
      <c r="L315" s="76"/>
      <c r="M315" s="76"/>
      <c r="N315" s="76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8"/>
      <c r="AB315" s="77"/>
      <c r="AC315" s="77"/>
      <c r="AD315" s="77"/>
      <c r="AE315" s="77"/>
      <c r="AF315" s="77"/>
      <c r="AG315" s="79"/>
      <c r="AH315" s="82" t="s">
        <v>168</v>
      </c>
      <c r="AI315" s="82" t="s">
        <v>218</v>
      </c>
      <c r="AJ315" s="82">
        <v>10000000013</v>
      </c>
    </row>
    <row r="316" spans="2:36" ht="15.6" x14ac:dyDescent="0.3">
      <c r="B316" s="88"/>
      <c r="C316" s="76"/>
      <c r="D316" s="88"/>
      <c r="E316" s="88"/>
      <c r="F316" s="76"/>
      <c r="G316" s="76"/>
      <c r="H316" s="76"/>
      <c r="I316" s="89"/>
      <c r="J316" s="89"/>
      <c r="K316" s="76"/>
      <c r="L316" s="76"/>
      <c r="M316" s="76"/>
      <c r="N316" s="76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8"/>
      <c r="AB316" s="77"/>
      <c r="AC316" s="77"/>
      <c r="AD316" s="77"/>
      <c r="AE316" s="77"/>
      <c r="AF316" s="77"/>
      <c r="AG316" s="79"/>
      <c r="AH316" s="82" t="s">
        <v>169</v>
      </c>
      <c r="AI316" s="82" t="s">
        <v>219</v>
      </c>
      <c r="AJ316" s="82">
        <v>10000000014</v>
      </c>
    </row>
    <row r="317" spans="2:36" ht="15.6" x14ac:dyDescent="0.3">
      <c r="B317" s="88"/>
      <c r="C317" s="76"/>
      <c r="D317" s="88"/>
      <c r="E317" s="88"/>
      <c r="F317" s="76"/>
      <c r="G317" s="76"/>
      <c r="H317" s="76"/>
      <c r="I317" s="89"/>
      <c r="J317" s="89"/>
      <c r="K317" s="76"/>
      <c r="L317" s="76"/>
      <c r="M317" s="76"/>
      <c r="N317" s="76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8"/>
      <c r="AB317" s="77"/>
      <c r="AC317" s="77"/>
      <c r="AD317" s="77"/>
      <c r="AE317" s="77"/>
      <c r="AF317" s="77"/>
      <c r="AG317" s="79"/>
      <c r="AH317" s="82" t="s">
        <v>170</v>
      </c>
      <c r="AI317" s="82" t="s">
        <v>220</v>
      </c>
      <c r="AJ317" s="82">
        <v>10000000015</v>
      </c>
    </row>
    <row r="318" spans="2:36" ht="15.6" x14ac:dyDescent="0.3">
      <c r="B318" s="88"/>
      <c r="C318" s="76"/>
      <c r="D318" s="88"/>
      <c r="E318" s="88"/>
      <c r="F318" s="76"/>
      <c r="G318" s="76"/>
      <c r="H318" s="76"/>
      <c r="I318" s="89"/>
      <c r="J318" s="89"/>
      <c r="K318" s="76"/>
      <c r="L318" s="76"/>
      <c r="M318" s="76"/>
      <c r="N318" s="76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8"/>
      <c r="AB318" s="77"/>
      <c r="AC318" s="77"/>
      <c r="AD318" s="77"/>
      <c r="AE318" s="77"/>
      <c r="AF318" s="77"/>
      <c r="AG318" s="79"/>
      <c r="AH318" s="82" t="s">
        <v>171</v>
      </c>
      <c r="AI318" s="82" t="s">
        <v>221</v>
      </c>
      <c r="AJ318" s="82">
        <v>10000000016</v>
      </c>
    </row>
    <row r="319" spans="2:36" ht="15.6" x14ac:dyDescent="0.3">
      <c r="B319" s="88"/>
      <c r="C319" s="76"/>
      <c r="D319" s="88"/>
      <c r="E319" s="88"/>
      <c r="F319" s="76"/>
      <c r="G319" s="76"/>
      <c r="H319" s="76"/>
      <c r="I319" s="89"/>
      <c r="J319" s="89"/>
      <c r="K319" s="76"/>
      <c r="L319" s="76"/>
      <c r="M319" s="76"/>
      <c r="N319" s="76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8"/>
      <c r="AB319" s="77"/>
      <c r="AC319" s="77"/>
      <c r="AD319" s="77"/>
      <c r="AE319" s="77"/>
      <c r="AF319" s="77"/>
      <c r="AG319" s="79"/>
      <c r="AH319" s="82" t="s">
        <v>172</v>
      </c>
      <c r="AI319" s="82" t="s">
        <v>222</v>
      </c>
      <c r="AJ319" s="82">
        <v>10000000017</v>
      </c>
    </row>
    <row r="320" spans="2:36" ht="15.6" x14ac:dyDescent="0.3">
      <c r="B320" s="88"/>
      <c r="C320" s="76"/>
      <c r="D320" s="88"/>
      <c r="E320" s="88"/>
      <c r="F320" s="76"/>
      <c r="G320" s="76"/>
      <c r="H320" s="76"/>
      <c r="I320" s="89"/>
      <c r="J320" s="89"/>
      <c r="K320" s="76"/>
      <c r="L320" s="76"/>
      <c r="M320" s="76"/>
      <c r="N320" s="76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8"/>
      <c r="AB320" s="77"/>
      <c r="AC320" s="77"/>
      <c r="AD320" s="77"/>
      <c r="AE320" s="77"/>
      <c r="AF320" s="77"/>
      <c r="AG320" s="79"/>
      <c r="AH320" s="82" t="s">
        <v>173</v>
      </c>
      <c r="AI320" s="82" t="s">
        <v>223</v>
      </c>
      <c r="AJ320" s="82">
        <v>10000000018</v>
      </c>
    </row>
    <row r="321" spans="2:36" ht="15.6" x14ac:dyDescent="0.3">
      <c r="B321" s="88"/>
      <c r="C321" s="76"/>
      <c r="D321" s="88"/>
      <c r="E321" s="88"/>
      <c r="F321" s="76"/>
      <c r="G321" s="76"/>
      <c r="H321" s="76"/>
      <c r="I321" s="89"/>
      <c r="J321" s="89"/>
      <c r="K321" s="76"/>
      <c r="L321" s="76"/>
      <c r="M321" s="76"/>
      <c r="N321" s="76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8"/>
      <c r="AB321" s="77"/>
      <c r="AC321" s="77"/>
      <c r="AD321" s="77"/>
      <c r="AE321" s="77"/>
      <c r="AF321" s="77"/>
      <c r="AG321" s="79"/>
      <c r="AH321" s="82" t="s">
        <v>174</v>
      </c>
      <c r="AI321" s="82" t="s">
        <v>224</v>
      </c>
      <c r="AJ321" s="82">
        <v>10000000019</v>
      </c>
    </row>
    <row r="322" spans="2:36" ht="15.6" x14ac:dyDescent="0.3">
      <c r="B322" s="88"/>
      <c r="C322" s="76"/>
      <c r="D322" s="88"/>
      <c r="E322" s="88"/>
      <c r="F322" s="76"/>
      <c r="G322" s="76"/>
      <c r="H322" s="76"/>
      <c r="I322" s="89"/>
      <c r="J322" s="89"/>
      <c r="K322" s="76"/>
      <c r="L322" s="76"/>
      <c r="M322" s="76"/>
      <c r="N322" s="76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8"/>
      <c r="AB322" s="77"/>
      <c r="AC322" s="77"/>
      <c r="AD322" s="77"/>
      <c r="AE322" s="77"/>
      <c r="AF322" s="77"/>
      <c r="AG322" s="79"/>
      <c r="AH322" s="82" t="s">
        <v>175</v>
      </c>
      <c r="AI322" s="82" t="s">
        <v>225</v>
      </c>
      <c r="AJ322" s="82">
        <v>10000000020</v>
      </c>
    </row>
    <row r="323" spans="2:36" ht="15.6" x14ac:dyDescent="0.3">
      <c r="B323" s="88"/>
      <c r="C323" s="76"/>
      <c r="D323" s="88"/>
      <c r="E323" s="88"/>
      <c r="F323" s="76"/>
      <c r="G323" s="76"/>
      <c r="H323" s="76"/>
      <c r="I323" s="89"/>
      <c r="J323" s="89"/>
      <c r="K323" s="76"/>
      <c r="L323" s="76"/>
      <c r="M323" s="76"/>
      <c r="N323" s="76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8"/>
      <c r="AB323" s="77"/>
      <c r="AC323" s="77"/>
      <c r="AD323" s="77"/>
      <c r="AE323" s="77"/>
      <c r="AF323" s="77"/>
      <c r="AG323" s="79"/>
      <c r="AH323" s="82" t="s">
        <v>176</v>
      </c>
      <c r="AI323" s="82" t="s">
        <v>226</v>
      </c>
      <c r="AJ323" s="82">
        <v>10000000021</v>
      </c>
    </row>
    <row r="324" spans="2:36" ht="15.6" x14ac:dyDescent="0.3">
      <c r="B324" s="88"/>
      <c r="C324" s="76"/>
      <c r="D324" s="88"/>
      <c r="E324" s="88"/>
      <c r="F324" s="76"/>
      <c r="G324" s="76"/>
      <c r="H324" s="76"/>
      <c r="I324" s="89"/>
      <c r="J324" s="89"/>
      <c r="K324" s="76"/>
      <c r="L324" s="76"/>
      <c r="M324" s="76"/>
      <c r="N324" s="76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8"/>
      <c r="AB324" s="77"/>
      <c r="AC324" s="77"/>
      <c r="AD324" s="77"/>
      <c r="AE324" s="77"/>
      <c r="AF324" s="77"/>
      <c r="AG324" s="79"/>
      <c r="AH324" s="82" t="s">
        <v>177</v>
      </c>
      <c r="AI324" s="82" t="s">
        <v>227</v>
      </c>
      <c r="AJ324" s="82">
        <v>10000000022</v>
      </c>
    </row>
    <row r="325" spans="2:36" ht="15.6" x14ac:dyDescent="0.3">
      <c r="B325" s="88"/>
      <c r="C325" s="76"/>
      <c r="D325" s="88"/>
      <c r="E325" s="88"/>
      <c r="F325" s="76"/>
      <c r="G325" s="76"/>
      <c r="H325" s="76"/>
      <c r="I325" s="89"/>
      <c r="J325" s="89"/>
      <c r="K325" s="76"/>
      <c r="L325" s="76"/>
      <c r="M325" s="76"/>
      <c r="N325" s="76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8"/>
      <c r="AB325" s="77"/>
      <c r="AC325" s="77"/>
      <c r="AD325" s="77"/>
      <c r="AE325" s="77"/>
      <c r="AF325" s="77"/>
      <c r="AG325" s="79"/>
      <c r="AH325" s="82" t="s">
        <v>178</v>
      </c>
      <c r="AI325" s="82" t="s">
        <v>228</v>
      </c>
      <c r="AJ325" s="82">
        <v>10000000023</v>
      </c>
    </row>
    <row r="326" spans="2:36" ht="15.6" x14ac:dyDescent="0.3">
      <c r="B326" s="88"/>
      <c r="C326" s="76"/>
      <c r="D326" s="88"/>
      <c r="E326" s="88"/>
      <c r="F326" s="76"/>
      <c r="G326" s="76"/>
      <c r="H326" s="76"/>
      <c r="I326" s="89"/>
      <c r="J326" s="89"/>
      <c r="K326" s="76"/>
      <c r="L326" s="76"/>
      <c r="M326" s="76"/>
      <c r="N326" s="76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8"/>
      <c r="AB326" s="77"/>
      <c r="AC326" s="77"/>
      <c r="AD326" s="77"/>
      <c r="AE326" s="77"/>
      <c r="AF326" s="77"/>
      <c r="AG326" s="79"/>
      <c r="AH326" s="82" t="s">
        <v>179</v>
      </c>
      <c r="AI326" s="82" t="s">
        <v>229</v>
      </c>
      <c r="AJ326" s="82">
        <v>10000000024</v>
      </c>
    </row>
    <row r="327" spans="2:36" ht="15.6" x14ac:dyDescent="0.3">
      <c r="B327" s="88"/>
      <c r="C327" s="76"/>
      <c r="D327" s="88"/>
      <c r="E327" s="88"/>
      <c r="F327" s="76"/>
      <c r="G327" s="76"/>
      <c r="H327" s="76"/>
      <c r="I327" s="89"/>
      <c r="J327" s="89"/>
      <c r="K327" s="76"/>
      <c r="L327" s="76"/>
      <c r="M327" s="76"/>
      <c r="N327" s="76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8"/>
      <c r="AB327" s="77"/>
      <c r="AC327" s="77"/>
      <c r="AD327" s="77"/>
      <c r="AE327" s="77"/>
      <c r="AF327" s="77"/>
      <c r="AG327" s="79"/>
      <c r="AH327" s="82" t="s">
        <v>180</v>
      </c>
      <c r="AI327" s="82" t="s">
        <v>230</v>
      </c>
      <c r="AJ327" s="82">
        <v>10000000025</v>
      </c>
    </row>
    <row r="328" spans="2:36" ht="15.6" x14ac:dyDescent="0.3">
      <c r="B328" s="88"/>
      <c r="C328" s="76"/>
      <c r="D328" s="88"/>
      <c r="E328" s="88"/>
      <c r="F328" s="76"/>
      <c r="G328" s="76"/>
      <c r="H328" s="76"/>
      <c r="I328" s="89"/>
      <c r="J328" s="89"/>
      <c r="K328" s="76"/>
      <c r="L328" s="76"/>
      <c r="M328" s="76"/>
      <c r="N328" s="76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8"/>
      <c r="AB328" s="77"/>
      <c r="AC328" s="77"/>
      <c r="AD328" s="77"/>
      <c r="AE328" s="77"/>
      <c r="AF328" s="77"/>
      <c r="AG328" s="79"/>
      <c r="AH328" s="82" t="s">
        <v>181</v>
      </c>
      <c r="AI328" s="82" t="s">
        <v>231</v>
      </c>
      <c r="AJ328" s="82">
        <v>10000000026</v>
      </c>
    </row>
    <row r="329" spans="2:36" ht="15.6" x14ac:dyDescent="0.3">
      <c r="B329" s="88"/>
      <c r="C329" s="76"/>
      <c r="D329" s="88"/>
      <c r="E329" s="88"/>
      <c r="F329" s="76"/>
      <c r="G329" s="76"/>
      <c r="H329" s="76"/>
      <c r="I329" s="89"/>
      <c r="J329" s="89"/>
      <c r="K329" s="76"/>
      <c r="L329" s="76"/>
      <c r="M329" s="76"/>
      <c r="N329" s="76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8"/>
      <c r="AB329" s="77"/>
      <c r="AC329" s="77"/>
      <c r="AD329" s="77"/>
      <c r="AE329" s="77"/>
      <c r="AF329" s="77"/>
      <c r="AG329" s="79"/>
      <c r="AH329" s="82" t="s">
        <v>182</v>
      </c>
      <c r="AI329" s="82" t="s">
        <v>232</v>
      </c>
      <c r="AJ329" s="82">
        <v>10000000027</v>
      </c>
    </row>
    <row r="330" spans="2:36" ht="15.6" x14ac:dyDescent="0.3">
      <c r="B330" s="88"/>
      <c r="C330" s="76"/>
      <c r="D330" s="88"/>
      <c r="E330" s="88"/>
      <c r="F330" s="76"/>
      <c r="G330" s="76"/>
      <c r="H330" s="76"/>
      <c r="I330" s="89"/>
      <c r="J330" s="89"/>
      <c r="K330" s="76"/>
      <c r="L330" s="76"/>
      <c r="M330" s="76"/>
      <c r="N330" s="76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8"/>
      <c r="AB330" s="77"/>
      <c r="AC330" s="77"/>
      <c r="AD330" s="77"/>
      <c r="AE330" s="77"/>
      <c r="AF330" s="77"/>
      <c r="AG330" s="79"/>
      <c r="AH330" s="82" t="s">
        <v>183</v>
      </c>
      <c r="AI330" s="82" t="s">
        <v>233</v>
      </c>
      <c r="AJ330" s="82">
        <v>10000000028</v>
      </c>
    </row>
    <row r="331" spans="2:36" ht="15.6" x14ac:dyDescent="0.3">
      <c r="B331" s="88"/>
      <c r="C331" s="76"/>
      <c r="D331" s="88"/>
      <c r="E331" s="88"/>
      <c r="F331" s="76"/>
      <c r="G331" s="76"/>
      <c r="H331" s="76"/>
      <c r="I331" s="89"/>
      <c r="J331" s="89"/>
      <c r="K331" s="76"/>
      <c r="L331" s="76"/>
      <c r="M331" s="76"/>
      <c r="N331" s="76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8"/>
      <c r="AB331" s="77"/>
      <c r="AC331" s="77"/>
      <c r="AD331" s="77"/>
      <c r="AE331" s="77"/>
      <c r="AF331" s="77"/>
      <c r="AG331" s="79"/>
      <c r="AH331" s="82" t="s">
        <v>184</v>
      </c>
      <c r="AI331" s="82" t="s">
        <v>234</v>
      </c>
      <c r="AJ331" s="82">
        <v>10000000029</v>
      </c>
    </row>
    <row r="332" spans="2:36" ht="15.6" x14ac:dyDescent="0.3">
      <c r="B332" s="88"/>
      <c r="C332" s="76"/>
      <c r="D332" s="88"/>
      <c r="E332" s="88"/>
      <c r="F332" s="76"/>
      <c r="G332" s="76"/>
      <c r="H332" s="76"/>
      <c r="I332" s="89"/>
      <c r="J332" s="89"/>
      <c r="K332" s="76"/>
      <c r="L332" s="76"/>
      <c r="M332" s="76"/>
      <c r="N332" s="76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8"/>
      <c r="AB332" s="77"/>
      <c r="AC332" s="77"/>
      <c r="AD332" s="77"/>
      <c r="AE332" s="77"/>
      <c r="AF332" s="77"/>
      <c r="AG332" s="79"/>
      <c r="AH332" s="82" t="s">
        <v>185</v>
      </c>
      <c r="AI332" s="82" t="s">
        <v>235</v>
      </c>
      <c r="AJ332" s="82">
        <v>10000000030</v>
      </c>
    </row>
    <row r="333" spans="2:36" ht="15.6" x14ac:dyDescent="0.3">
      <c r="B333" s="88"/>
      <c r="C333" s="76"/>
      <c r="D333" s="88"/>
      <c r="E333" s="88"/>
      <c r="F333" s="76"/>
      <c r="G333" s="76"/>
      <c r="H333" s="76"/>
      <c r="I333" s="89"/>
      <c r="J333" s="89"/>
      <c r="K333" s="76"/>
      <c r="L333" s="76"/>
      <c r="M333" s="76"/>
      <c r="N333" s="76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8"/>
      <c r="AB333" s="77"/>
      <c r="AC333" s="77"/>
      <c r="AD333" s="77"/>
      <c r="AE333" s="77"/>
      <c r="AF333" s="77"/>
      <c r="AG333" s="79"/>
      <c r="AH333" s="82" t="s">
        <v>186</v>
      </c>
      <c r="AI333" s="82" t="s">
        <v>236</v>
      </c>
      <c r="AJ333" s="82">
        <v>10000000031</v>
      </c>
    </row>
    <row r="334" spans="2:36" ht="15.6" x14ac:dyDescent="0.3">
      <c r="B334" s="88"/>
      <c r="C334" s="76"/>
      <c r="D334" s="88"/>
      <c r="E334" s="88"/>
      <c r="F334" s="76"/>
      <c r="G334" s="76"/>
      <c r="H334" s="76"/>
      <c r="I334" s="89"/>
      <c r="J334" s="89"/>
      <c r="K334" s="76"/>
      <c r="L334" s="76"/>
      <c r="M334" s="76"/>
      <c r="N334" s="76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8"/>
      <c r="AB334" s="77"/>
      <c r="AC334" s="77"/>
      <c r="AD334" s="77"/>
      <c r="AE334" s="77"/>
      <c r="AF334" s="77"/>
      <c r="AG334" s="79"/>
      <c r="AH334" s="82" t="s">
        <v>187</v>
      </c>
      <c r="AI334" s="82" t="s">
        <v>237</v>
      </c>
      <c r="AJ334" s="82">
        <v>10000000032</v>
      </c>
    </row>
    <row r="335" spans="2:36" ht="15.6" x14ac:dyDescent="0.3">
      <c r="B335" s="88"/>
      <c r="C335" s="76"/>
      <c r="D335" s="88"/>
      <c r="E335" s="88"/>
      <c r="F335" s="76"/>
      <c r="G335" s="76"/>
      <c r="H335" s="76"/>
      <c r="I335" s="89"/>
      <c r="J335" s="89"/>
      <c r="K335" s="76"/>
      <c r="L335" s="76"/>
      <c r="M335" s="76"/>
      <c r="N335" s="76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8"/>
      <c r="AB335" s="77"/>
      <c r="AC335" s="77"/>
      <c r="AD335" s="77"/>
      <c r="AE335" s="77"/>
      <c r="AF335" s="77"/>
      <c r="AG335" s="79"/>
      <c r="AH335" s="82" t="s">
        <v>188</v>
      </c>
      <c r="AI335" s="82" t="s">
        <v>238</v>
      </c>
      <c r="AJ335" s="82">
        <v>10000000033</v>
      </c>
    </row>
    <row r="336" spans="2:36" ht="15.6" x14ac:dyDescent="0.3">
      <c r="B336" s="88"/>
      <c r="C336" s="76"/>
      <c r="D336" s="88"/>
      <c r="E336" s="88"/>
      <c r="F336" s="76"/>
      <c r="G336" s="76"/>
      <c r="H336" s="76"/>
      <c r="I336" s="89"/>
      <c r="J336" s="89"/>
      <c r="K336" s="76"/>
      <c r="L336" s="76"/>
      <c r="M336" s="76"/>
      <c r="N336" s="76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8"/>
      <c r="AB336" s="77"/>
      <c r="AC336" s="77"/>
      <c r="AD336" s="77"/>
      <c r="AE336" s="77"/>
      <c r="AF336" s="77"/>
      <c r="AG336" s="79"/>
      <c r="AH336" s="82" t="s">
        <v>189</v>
      </c>
      <c r="AI336" s="82" t="s">
        <v>239</v>
      </c>
      <c r="AJ336" s="82">
        <v>10000000034</v>
      </c>
    </row>
    <row r="337" spans="2:36" ht="15.6" x14ac:dyDescent="0.3">
      <c r="B337" s="88"/>
      <c r="C337" s="76"/>
      <c r="D337" s="88"/>
      <c r="E337" s="88"/>
      <c r="F337" s="76"/>
      <c r="G337" s="76"/>
      <c r="H337" s="76"/>
      <c r="I337" s="89"/>
      <c r="J337" s="89"/>
      <c r="K337" s="76"/>
      <c r="L337" s="76"/>
      <c r="M337" s="76"/>
      <c r="N337" s="76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8"/>
      <c r="AB337" s="77"/>
      <c r="AC337" s="77"/>
      <c r="AD337" s="77"/>
      <c r="AE337" s="77"/>
      <c r="AF337" s="77"/>
      <c r="AG337" s="79"/>
      <c r="AH337" s="82" t="s">
        <v>190</v>
      </c>
      <c r="AI337" s="82" t="s">
        <v>240</v>
      </c>
      <c r="AJ337" s="82">
        <v>10000000035</v>
      </c>
    </row>
    <row r="338" spans="2:36" ht="15.6" x14ac:dyDescent="0.3">
      <c r="B338" s="88"/>
      <c r="C338" s="76"/>
      <c r="D338" s="88"/>
      <c r="E338" s="88"/>
      <c r="F338" s="76"/>
      <c r="G338" s="76"/>
      <c r="H338" s="76"/>
      <c r="I338" s="89"/>
      <c r="J338" s="89"/>
      <c r="K338" s="76"/>
      <c r="L338" s="76"/>
      <c r="M338" s="76"/>
      <c r="N338" s="76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8"/>
      <c r="AB338" s="77"/>
      <c r="AC338" s="77"/>
      <c r="AD338" s="77"/>
      <c r="AE338" s="77"/>
      <c r="AF338" s="77"/>
      <c r="AG338" s="79"/>
      <c r="AH338" s="82" t="s">
        <v>191</v>
      </c>
      <c r="AI338" s="82" t="s">
        <v>241</v>
      </c>
      <c r="AJ338" s="82">
        <v>10000000036</v>
      </c>
    </row>
    <row r="339" spans="2:36" ht="15.6" x14ac:dyDescent="0.3">
      <c r="B339" s="88"/>
      <c r="C339" s="76"/>
      <c r="D339" s="88"/>
      <c r="E339" s="88"/>
      <c r="F339" s="76"/>
      <c r="G339" s="76"/>
      <c r="H339" s="76"/>
      <c r="I339" s="89"/>
      <c r="J339" s="89"/>
      <c r="K339" s="76"/>
      <c r="L339" s="76"/>
      <c r="M339" s="76"/>
      <c r="N339" s="76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8"/>
      <c r="AB339" s="77"/>
      <c r="AC339" s="77"/>
      <c r="AD339" s="77"/>
      <c r="AE339" s="77"/>
      <c r="AF339" s="77"/>
      <c r="AG339" s="79"/>
      <c r="AH339" s="82" t="s">
        <v>192</v>
      </c>
      <c r="AI339" s="82" t="s">
        <v>242</v>
      </c>
      <c r="AJ339" s="82">
        <v>10000000037</v>
      </c>
    </row>
    <row r="340" spans="2:36" ht="15.6" x14ac:dyDescent="0.3">
      <c r="B340" s="88"/>
      <c r="C340" s="76"/>
      <c r="D340" s="88"/>
      <c r="E340" s="88"/>
      <c r="F340" s="76"/>
      <c r="G340" s="76"/>
      <c r="H340" s="76"/>
      <c r="I340" s="89"/>
      <c r="J340" s="89"/>
      <c r="K340" s="76"/>
      <c r="L340" s="76"/>
      <c r="M340" s="76"/>
      <c r="N340" s="76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8"/>
      <c r="AB340" s="77"/>
      <c r="AC340" s="77"/>
      <c r="AD340" s="77"/>
      <c r="AE340" s="77"/>
      <c r="AF340" s="77"/>
      <c r="AG340" s="79"/>
      <c r="AH340" s="82" t="s">
        <v>193</v>
      </c>
      <c r="AI340" s="82" t="s">
        <v>243</v>
      </c>
      <c r="AJ340" s="82">
        <v>10000000038</v>
      </c>
    </row>
    <row r="341" spans="2:36" ht="15.6" x14ac:dyDescent="0.3">
      <c r="B341" s="88"/>
      <c r="C341" s="76"/>
      <c r="D341" s="88"/>
      <c r="E341" s="88"/>
      <c r="F341" s="76"/>
      <c r="G341" s="76"/>
      <c r="H341" s="76"/>
      <c r="I341" s="89"/>
      <c r="J341" s="89"/>
      <c r="K341" s="76"/>
      <c r="L341" s="76"/>
      <c r="M341" s="76"/>
      <c r="N341" s="76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8"/>
      <c r="AB341" s="77"/>
      <c r="AC341" s="77"/>
      <c r="AD341" s="77"/>
      <c r="AE341" s="77"/>
      <c r="AF341" s="77"/>
      <c r="AG341" s="79"/>
      <c r="AH341" s="82" t="s">
        <v>194</v>
      </c>
      <c r="AI341" s="82" t="s">
        <v>244</v>
      </c>
      <c r="AJ341" s="82">
        <v>10000000039</v>
      </c>
    </row>
    <row r="342" spans="2:36" ht="15.6" x14ac:dyDescent="0.3">
      <c r="B342" s="88"/>
      <c r="C342" s="76"/>
      <c r="D342" s="88"/>
      <c r="E342" s="88"/>
      <c r="F342" s="76"/>
      <c r="G342" s="76"/>
      <c r="H342" s="76"/>
      <c r="I342" s="89"/>
      <c r="J342" s="89"/>
      <c r="K342" s="76"/>
      <c r="L342" s="76"/>
      <c r="M342" s="76"/>
      <c r="N342" s="76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8"/>
      <c r="AB342" s="77"/>
      <c r="AC342" s="77"/>
      <c r="AD342" s="77"/>
      <c r="AE342" s="77"/>
      <c r="AF342" s="77"/>
      <c r="AG342" s="79"/>
      <c r="AH342" s="82" t="s">
        <v>195</v>
      </c>
      <c r="AI342" s="82" t="s">
        <v>245</v>
      </c>
      <c r="AJ342" s="82">
        <v>10000000040</v>
      </c>
    </row>
    <row r="343" spans="2:36" ht="15.6" x14ac:dyDescent="0.3">
      <c r="B343" s="88"/>
      <c r="C343" s="76"/>
      <c r="D343" s="88"/>
      <c r="E343" s="88"/>
      <c r="F343" s="76"/>
      <c r="G343" s="76"/>
      <c r="H343" s="76"/>
      <c r="I343" s="89"/>
      <c r="J343" s="89"/>
      <c r="K343" s="76"/>
      <c r="L343" s="76"/>
      <c r="M343" s="76"/>
      <c r="N343" s="76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8"/>
      <c r="AB343" s="77"/>
      <c r="AC343" s="77"/>
      <c r="AD343" s="77"/>
      <c r="AE343" s="77"/>
      <c r="AF343" s="77"/>
      <c r="AG343" s="79"/>
      <c r="AH343" s="82" t="s">
        <v>196</v>
      </c>
      <c r="AI343" s="82" t="s">
        <v>246</v>
      </c>
      <c r="AJ343" s="82">
        <v>10000000041</v>
      </c>
    </row>
    <row r="344" spans="2:36" ht="15.6" x14ac:dyDescent="0.3">
      <c r="B344" s="88"/>
      <c r="C344" s="76"/>
      <c r="D344" s="88"/>
      <c r="E344" s="88"/>
      <c r="F344" s="76"/>
      <c r="G344" s="76"/>
      <c r="H344" s="76"/>
      <c r="I344" s="89"/>
      <c r="J344" s="89"/>
      <c r="K344" s="76"/>
      <c r="L344" s="76"/>
      <c r="M344" s="76"/>
      <c r="N344" s="76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8"/>
      <c r="AB344" s="77"/>
      <c r="AC344" s="77"/>
      <c r="AD344" s="77"/>
      <c r="AE344" s="77"/>
      <c r="AF344" s="77"/>
      <c r="AG344" s="79"/>
      <c r="AH344" s="82" t="s">
        <v>197</v>
      </c>
      <c r="AI344" s="82" t="s">
        <v>247</v>
      </c>
      <c r="AJ344" s="82">
        <v>10000000042</v>
      </c>
    </row>
    <row r="345" spans="2:36" ht="15.6" x14ac:dyDescent="0.3">
      <c r="B345" s="88"/>
      <c r="C345" s="76"/>
      <c r="D345" s="88"/>
      <c r="E345" s="88"/>
      <c r="F345" s="76"/>
      <c r="G345" s="76"/>
      <c r="H345" s="76"/>
      <c r="I345" s="89"/>
      <c r="J345" s="89"/>
      <c r="K345" s="76"/>
      <c r="L345" s="76"/>
      <c r="M345" s="76"/>
      <c r="N345" s="76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8"/>
      <c r="AB345" s="77"/>
      <c r="AC345" s="77"/>
      <c r="AD345" s="77"/>
      <c r="AE345" s="77"/>
      <c r="AF345" s="77"/>
      <c r="AG345" s="79"/>
      <c r="AH345" s="82" t="s">
        <v>198</v>
      </c>
      <c r="AI345" s="82" t="s">
        <v>248</v>
      </c>
      <c r="AJ345" s="82">
        <v>10000000043</v>
      </c>
    </row>
    <row r="346" spans="2:36" ht="15.6" x14ac:dyDescent="0.3">
      <c r="B346" s="88"/>
      <c r="C346" s="76"/>
      <c r="D346" s="88"/>
      <c r="E346" s="88"/>
      <c r="F346" s="76"/>
      <c r="G346" s="76"/>
      <c r="H346" s="76"/>
      <c r="I346" s="89"/>
      <c r="J346" s="89"/>
      <c r="K346" s="76"/>
      <c r="L346" s="76"/>
      <c r="M346" s="76"/>
      <c r="N346" s="76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8"/>
      <c r="AB346" s="77"/>
      <c r="AC346" s="77"/>
      <c r="AD346" s="77"/>
      <c r="AE346" s="77"/>
      <c r="AF346" s="77"/>
      <c r="AG346" s="79"/>
      <c r="AH346" s="82" t="s">
        <v>199</v>
      </c>
      <c r="AI346" s="82" t="s">
        <v>249</v>
      </c>
      <c r="AJ346" s="82">
        <v>10000000044</v>
      </c>
    </row>
    <row r="347" spans="2:36" ht="15.6" x14ac:dyDescent="0.3">
      <c r="B347" s="88"/>
      <c r="C347" s="76"/>
      <c r="D347" s="88"/>
      <c r="E347" s="88"/>
      <c r="F347" s="76"/>
      <c r="G347" s="76"/>
      <c r="H347" s="76"/>
      <c r="I347" s="89"/>
      <c r="J347" s="89"/>
      <c r="K347" s="76"/>
      <c r="L347" s="76"/>
      <c r="M347" s="76"/>
      <c r="N347" s="76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8"/>
      <c r="AB347" s="77"/>
      <c r="AC347" s="77"/>
      <c r="AD347" s="77"/>
      <c r="AE347" s="77"/>
      <c r="AF347" s="77"/>
      <c r="AG347" s="79"/>
      <c r="AH347" s="82" t="s">
        <v>200</v>
      </c>
      <c r="AI347" s="82" t="s">
        <v>250</v>
      </c>
      <c r="AJ347" s="82">
        <v>10000000045</v>
      </c>
    </row>
    <row r="348" spans="2:36" ht="15.6" x14ac:dyDescent="0.3">
      <c r="B348" s="88"/>
      <c r="C348" s="76"/>
      <c r="D348" s="88"/>
      <c r="E348" s="88"/>
      <c r="F348" s="76"/>
      <c r="G348" s="76"/>
      <c r="H348" s="76"/>
      <c r="I348" s="89"/>
      <c r="J348" s="89"/>
      <c r="K348" s="76"/>
      <c r="L348" s="76"/>
      <c r="M348" s="76"/>
      <c r="N348" s="76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8"/>
      <c r="AB348" s="77"/>
      <c r="AC348" s="77"/>
      <c r="AD348" s="77"/>
      <c r="AE348" s="77"/>
      <c r="AF348" s="77"/>
      <c r="AG348" s="79"/>
      <c r="AH348" s="82" t="s">
        <v>201</v>
      </c>
      <c r="AI348" s="82" t="s">
        <v>251</v>
      </c>
      <c r="AJ348" s="82">
        <v>10000000046</v>
      </c>
    </row>
    <row r="349" spans="2:36" ht="15.6" x14ac:dyDescent="0.3">
      <c r="B349" s="88"/>
      <c r="C349" s="76"/>
      <c r="D349" s="88"/>
      <c r="E349" s="88"/>
      <c r="F349" s="76"/>
      <c r="G349" s="76"/>
      <c r="H349" s="76"/>
      <c r="I349" s="89"/>
      <c r="J349" s="89"/>
      <c r="K349" s="76"/>
      <c r="L349" s="76"/>
      <c r="M349" s="76"/>
      <c r="N349" s="76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8"/>
      <c r="AB349" s="77"/>
      <c r="AC349" s="77"/>
      <c r="AD349" s="77"/>
      <c r="AE349" s="77"/>
      <c r="AF349" s="77"/>
      <c r="AG349" s="79"/>
      <c r="AH349" s="82" t="s">
        <v>202</v>
      </c>
      <c r="AI349" s="82" t="s">
        <v>252</v>
      </c>
      <c r="AJ349" s="82">
        <v>10000000047</v>
      </c>
    </row>
    <row r="350" spans="2:36" ht="15.6" x14ac:dyDescent="0.3">
      <c r="B350" s="88"/>
      <c r="C350" s="76"/>
      <c r="D350" s="88"/>
      <c r="E350" s="88"/>
      <c r="F350" s="76"/>
      <c r="G350" s="76"/>
      <c r="H350" s="76"/>
      <c r="I350" s="89"/>
      <c r="J350" s="89"/>
      <c r="K350" s="76"/>
      <c r="L350" s="76"/>
      <c r="M350" s="76"/>
      <c r="N350" s="76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8"/>
      <c r="AB350" s="77"/>
      <c r="AC350" s="77"/>
      <c r="AD350" s="77"/>
      <c r="AE350" s="77"/>
      <c r="AF350" s="77"/>
      <c r="AG350" s="79"/>
      <c r="AH350" s="82" t="s">
        <v>203</v>
      </c>
      <c r="AI350" s="82" t="s">
        <v>253</v>
      </c>
      <c r="AJ350" s="82">
        <v>10000000048</v>
      </c>
    </row>
    <row r="351" spans="2:36" ht="15.6" x14ac:dyDescent="0.3">
      <c r="B351" s="88"/>
      <c r="C351" s="76"/>
      <c r="D351" s="88"/>
      <c r="E351" s="88"/>
      <c r="F351" s="76"/>
      <c r="G351" s="76"/>
      <c r="H351" s="76"/>
      <c r="I351" s="89"/>
      <c r="J351" s="89"/>
      <c r="K351" s="76"/>
      <c r="L351" s="76"/>
      <c r="M351" s="76"/>
      <c r="N351" s="76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8"/>
      <c r="AB351" s="77"/>
      <c r="AC351" s="77"/>
      <c r="AD351" s="77"/>
      <c r="AE351" s="77"/>
      <c r="AF351" s="77"/>
      <c r="AG351" s="79"/>
      <c r="AH351" s="82" t="s">
        <v>204</v>
      </c>
      <c r="AI351" s="82" t="s">
        <v>254</v>
      </c>
      <c r="AJ351" s="82">
        <v>10000000049</v>
      </c>
    </row>
    <row r="352" spans="2:36" ht="15.6" x14ac:dyDescent="0.3">
      <c r="B352" s="88"/>
      <c r="C352" s="76"/>
      <c r="D352" s="88"/>
      <c r="E352" s="88"/>
      <c r="F352" s="76"/>
      <c r="G352" s="76"/>
      <c r="H352" s="76"/>
      <c r="I352" s="89"/>
      <c r="J352" s="89"/>
      <c r="K352" s="76"/>
      <c r="L352" s="76"/>
      <c r="M352" s="76"/>
      <c r="N352" s="76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8"/>
      <c r="AB352" s="77"/>
      <c r="AC352" s="77"/>
      <c r="AD352" s="77"/>
      <c r="AE352" s="77"/>
      <c r="AF352" s="77"/>
      <c r="AG352" s="79"/>
      <c r="AH352" s="82" t="s">
        <v>205</v>
      </c>
      <c r="AI352" s="82" t="s">
        <v>255</v>
      </c>
      <c r="AJ352" s="82">
        <v>10000000050</v>
      </c>
    </row>
    <row r="353" spans="2:36" ht="15.6" x14ac:dyDescent="0.3">
      <c r="B353" s="88"/>
      <c r="C353" s="76"/>
      <c r="D353" s="88"/>
      <c r="E353" s="88"/>
      <c r="F353" s="76"/>
      <c r="G353" s="76"/>
      <c r="H353" s="76"/>
      <c r="I353" s="89"/>
      <c r="J353" s="89"/>
      <c r="K353" s="76"/>
      <c r="L353" s="76"/>
      <c r="M353" s="76"/>
      <c r="N353" s="76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8"/>
      <c r="AB353" s="77"/>
      <c r="AC353" s="77"/>
      <c r="AD353" s="77"/>
      <c r="AE353" s="77"/>
      <c r="AF353" s="77"/>
      <c r="AG353" s="79"/>
      <c r="AH353" s="82" t="s">
        <v>156</v>
      </c>
      <c r="AI353" s="82" t="s">
        <v>206</v>
      </c>
      <c r="AJ353" s="82">
        <v>10000000001</v>
      </c>
    </row>
    <row r="354" spans="2:36" ht="15.6" x14ac:dyDescent="0.3">
      <c r="B354" s="88"/>
      <c r="C354" s="76"/>
      <c r="D354" s="88"/>
      <c r="E354" s="88"/>
      <c r="F354" s="76"/>
      <c r="G354" s="76"/>
      <c r="H354" s="76"/>
      <c r="I354" s="89"/>
      <c r="J354" s="89"/>
      <c r="K354" s="76"/>
      <c r="L354" s="76"/>
      <c r="M354" s="76"/>
      <c r="N354" s="76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8"/>
      <c r="AB354" s="77"/>
      <c r="AC354" s="77"/>
      <c r="AD354" s="77"/>
      <c r="AE354" s="77"/>
      <c r="AF354" s="77"/>
      <c r="AG354" s="79"/>
      <c r="AH354" s="82" t="s">
        <v>157</v>
      </c>
      <c r="AI354" s="82" t="s">
        <v>207</v>
      </c>
      <c r="AJ354" s="82">
        <v>10000000002</v>
      </c>
    </row>
    <row r="355" spans="2:36" ht="15.6" x14ac:dyDescent="0.3">
      <c r="B355" s="88"/>
      <c r="C355" s="76"/>
      <c r="D355" s="88"/>
      <c r="E355" s="88"/>
      <c r="F355" s="76"/>
      <c r="G355" s="76"/>
      <c r="H355" s="76"/>
      <c r="I355" s="89"/>
      <c r="J355" s="89"/>
      <c r="K355" s="76"/>
      <c r="L355" s="76"/>
      <c r="M355" s="76"/>
      <c r="N355" s="76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8"/>
      <c r="AB355" s="77"/>
      <c r="AC355" s="77"/>
      <c r="AD355" s="77"/>
      <c r="AE355" s="77"/>
      <c r="AF355" s="77"/>
      <c r="AG355" s="79"/>
      <c r="AH355" s="82" t="s">
        <v>158</v>
      </c>
      <c r="AI355" s="82" t="s">
        <v>208</v>
      </c>
      <c r="AJ355" s="82">
        <v>10000000003</v>
      </c>
    </row>
    <row r="356" spans="2:36" ht="15.6" x14ac:dyDescent="0.3">
      <c r="B356" s="88"/>
      <c r="C356" s="76"/>
      <c r="D356" s="88"/>
      <c r="E356" s="88"/>
      <c r="F356" s="76"/>
      <c r="G356" s="76"/>
      <c r="H356" s="76"/>
      <c r="I356" s="89"/>
      <c r="J356" s="89"/>
      <c r="K356" s="76"/>
      <c r="L356" s="76"/>
      <c r="M356" s="76"/>
      <c r="N356" s="76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8"/>
      <c r="AB356" s="77"/>
      <c r="AC356" s="77"/>
      <c r="AD356" s="77"/>
      <c r="AE356" s="77"/>
      <c r="AF356" s="77"/>
      <c r="AG356" s="79"/>
      <c r="AH356" s="82" t="s">
        <v>159</v>
      </c>
      <c r="AI356" s="82" t="s">
        <v>209</v>
      </c>
      <c r="AJ356" s="82">
        <v>10000000004</v>
      </c>
    </row>
    <row r="357" spans="2:36" ht="15.6" x14ac:dyDescent="0.3">
      <c r="B357" s="88"/>
      <c r="C357" s="76"/>
      <c r="D357" s="88"/>
      <c r="E357" s="88"/>
      <c r="F357" s="76"/>
      <c r="G357" s="76"/>
      <c r="H357" s="76"/>
      <c r="I357" s="89"/>
      <c r="J357" s="89"/>
      <c r="K357" s="76"/>
      <c r="L357" s="76"/>
      <c r="M357" s="76"/>
      <c r="N357" s="76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8"/>
      <c r="AB357" s="77"/>
      <c r="AC357" s="77"/>
      <c r="AD357" s="77"/>
      <c r="AE357" s="77"/>
      <c r="AF357" s="77"/>
      <c r="AG357" s="79"/>
      <c r="AH357" s="82" t="s">
        <v>160</v>
      </c>
      <c r="AI357" s="82" t="s">
        <v>210</v>
      </c>
      <c r="AJ357" s="82">
        <v>10000000005</v>
      </c>
    </row>
    <row r="358" spans="2:36" ht="15.6" x14ac:dyDescent="0.3">
      <c r="B358" s="88"/>
      <c r="C358" s="76"/>
      <c r="D358" s="88"/>
      <c r="E358" s="88"/>
      <c r="F358" s="76"/>
      <c r="G358" s="76"/>
      <c r="H358" s="76"/>
      <c r="I358" s="89"/>
      <c r="J358" s="89"/>
      <c r="K358" s="76"/>
      <c r="L358" s="76"/>
      <c r="M358" s="76"/>
      <c r="N358" s="76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8"/>
      <c r="AB358" s="77"/>
      <c r="AC358" s="77"/>
      <c r="AD358" s="77"/>
      <c r="AE358" s="77"/>
      <c r="AF358" s="77"/>
      <c r="AG358" s="79"/>
      <c r="AH358" s="82" t="s">
        <v>161</v>
      </c>
      <c r="AI358" s="82" t="s">
        <v>211</v>
      </c>
      <c r="AJ358" s="82">
        <v>10000000006</v>
      </c>
    </row>
    <row r="359" spans="2:36" ht="15.6" x14ac:dyDescent="0.3">
      <c r="B359" s="88"/>
      <c r="C359" s="76"/>
      <c r="D359" s="88"/>
      <c r="E359" s="88"/>
      <c r="F359" s="76"/>
      <c r="G359" s="76"/>
      <c r="H359" s="76"/>
      <c r="I359" s="89"/>
      <c r="J359" s="89"/>
      <c r="K359" s="76"/>
      <c r="L359" s="76"/>
      <c r="M359" s="76"/>
      <c r="N359" s="76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8"/>
      <c r="AB359" s="77"/>
      <c r="AC359" s="77"/>
      <c r="AD359" s="77"/>
      <c r="AE359" s="77"/>
      <c r="AF359" s="77"/>
      <c r="AG359" s="79"/>
      <c r="AH359" s="82" t="s">
        <v>162</v>
      </c>
      <c r="AI359" s="82" t="s">
        <v>212</v>
      </c>
      <c r="AJ359" s="82">
        <v>10000000007</v>
      </c>
    </row>
    <row r="360" spans="2:36" ht="15.6" x14ac:dyDescent="0.3">
      <c r="B360" s="88"/>
      <c r="C360" s="76"/>
      <c r="D360" s="88"/>
      <c r="E360" s="88"/>
      <c r="F360" s="76"/>
      <c r="G360" s="76"/>
      <c r="H360" s="76"/>
      <c r="I360" s="89"/>
      <c r="J360" s="89"/>
      <c r="K360" s="76"/>
      <c r="L360" s="76"/>
      <c r="M360" s="76"/>
      <c r="N360" s="76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8"/>
      <c r="AB360" s="77"/>
      <c r="AC360" s="77"/>
      <c r="AD360" s="77"/>
      <c r="AE360" s="77"/>
      <c r="AF360" s="77"/>
      <c r="AG360" s="79"/>
      <c r="AH360" s="82" t="s">
        <v>163</v>
      </c>
      <c r="AI360" s="82" t="s">
        <v>213</v>
      </c>
      <c r="AJ360" s="82">
        <v>10000000008</v>
      </c>
    </row>
    <row r="361" spans="2:36" ht="15.6" x14ac:dyDescent="0.3">
      <c r="B361" s="88"/>
      <c r="C361" s="76"/>
      <c r="D361" s="88"/>
      <c r="E361" s="88"/>
      <c r="F361" s="76"/>
      <c r="G361" s="76"/>
      <c r="H361" s="76"/>
      <c r="I361" s="89"/>
      <c r="J361" s="89"/>
      <c r="K361" s="76"/>
      <c r="L361" s="76"/>
      <c r="M361" s="76"/>
      <c r="N361" s="76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8"/>
      <c r="AB361" s="77"/>
      <c r="AC361" s="77"/>
      <c r="AD361" s="77"/>
      <c r="AE361" s="77"/>
      <c r="AF361" s="77"/>
      <c r="AG361" s="79"/>
      <c r="AH361" s="82" t="s">
        <v>164</v>
      </c>
      <c r="AI361" s="82" t="s">
        <v>214</v>
      </c>
      <c r="AJ361" s="82">
        <v>10000000009</v>
      </c>
    </row>
    <row r="362" spans="2:36" ht="15.6" x14ac:dyDescent="0.3">
      <c r="B362" s="88"/>
      <c r="C362" s="76"/>
      <c r="D362" s="88"/>
      <c r="E362" s="88"/>
      <c r="F362" s="76"/>
      <c r="G362" s="76"/>
      <c r="H362" s="76"/>
      <c r="I362" s="89"/>
      <c r="J362" s="89"/>
      <c r="K362" s="76"/>
      <c r="L362" s="76"/>
      <c r="M362" s="76"/>
      <c r="N362" s="76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8"/>
      <c r="AB362" s="77"/>
      <c r="AC362" s="77"/>
      <c r="AD362" s="77"/>
      <c r="AE362" s="77"/>
      <c r="AF362" s="77"/>
      <c r="AG362" s="79"/>
      <c r="AH362" s="82" t="s">
        <v>165</v>
      </c>
      <c r="AI362" s="82" t="s">
        <v>215</v>
      </c>
      <c r="AJ362" s="82">
        <v>10000000010</v>
      </c>
    </row>
    <row r="363" spans="2:36" ht="15.6" x14ac:dyDescent="0.3">
      <c r="B363" s="88"/>
      <c r="C363" s="76"/>
      <c r="D363" s="88"/>
      <c r="E363" s="88"/>
      <c r="F363" s="76"/>
      <c r="G363" s="76"/>
      <c r="H363" s="76"/>
      <c r="I363" s="89"/>
      <c r="J363" s="89"/>
      <c r="K363" s="76"/>
      <c r="L363" s="76"/>
      <c r="M363" s="76"/>
      <c r="N363" s="76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8"/>
      <c r="AB363" s="77"/>
      <c r="AC363" s="77"/>
      <c r="AD363" s="77"/>
      <c r="AE363" s="77"/>
      <c r="AF363" s="77"/>
      <c r="AG363" s="79"/>
      <c r="AH363" s="82" t="s">
        <v>166</v>
      </c>
      <c r="AI363" s="82" t="s">
        <v>216</v>
      </c>
      <c r="AJ363" s="82">
        <v>10000000011</v>
      </c>
    </row>
    <row r="364" spans="2:36" ht="15.6" x14ac:dyDescent="0.3">
      <c r="B364" s="88"/>
      <c r="C364" s="76"/>
      <c r="D364" s="88"/>
      <c r="E364" s="88"/>
      <c r="F364" s="76"/>
      <c r="G364" s="76"/>
      <c r="H364" s="76"/>
      <c r="I364" s="89"/>
      <c r="J364" s="89"/>
      <c r="K364" s="76"/>
      <c r="L364" s="76"/>
      <c r="M364" s="76"/>
      <c r="N364" s="76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8"/>
      <c r="AB364" s="77"/>
      <c r="AC364" s="77"/>
      <c r="AD364" s="77"/>
      <c r="AE364" s="77"/>
      <c r="AF364" s="77"/>
      <c r="AG364" s="79"/>
      <c r="AH364" s="82" t="s">
        <v>167</v>
      </c>
      <c r="AI364" s="82" t="s">
        <v>217</v>
      </c>
      <c r="AJ364" s="82">
        <v>10000000012</v>
      </c>
    </row>
    <row r="365" spans="2:36" ht="15.6" x14ac:dyDescent="0.3">
      <c r="B365" s="88"/>
      <c r="C365" s="76"/>
      <c r="D365" s="88"/>
      <c r="E365" s="88"/>
      <c r="F365" s="76"/>
      <c r="G365" s="76"/>
      <c r="H365" s="76"/>
      <c r="I365" s="89"/>
      <c r="J365" s="89"/>
      <c r="K365" s="76"/>
      <c r="L365" s="76"/>
      <c r="M365" s="76"/>
      <c r="N365" s="76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8"/>
      <c r="AB365" s="77"/>
      <c r="AC365" s="77"/>
      <c r="AD365" s="77"/>
      <c r="AE365" s="77"/>
      <c r="AF365" s="77"/>
      <c r="AG365" s="79"/>
      <c r="AH365" s="82" t="s">
        <v>168</v>
      </c>
      <c r="AI365" s="82" t="s">
        <v>218</v>
      </c>
      <c r="AJ365" s="82">
        <v>10000000013</v>
      </c>
    </row>
    <row r="366" spans="2:36" ht="15.6" x14ac:dyDescent="0.3">
      <c r="B366" s="88"/>
      <c r="C366" s="76"/>
      <c r="D366" s="88"/>
      <c r="E366" s="88"/>
      <c r="F366" s="76"/>
      <c r="G366" s="76"/>
      <c r="H366" s="76"/>
      <c r="I366" s="89"/>
      <c r="J366" s="89"/>
      <c r="K366" s="76"/>
      <c r="L366" s="76"/>
      <c r="M366" s="76"/>
      <c r="N366" s="76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8"/>
      <c r="AB366" s="77"/>
      <c r="AC366" s="77"/>
      <c r="AD366" s="77"/>
      <c r="AE366" s="77"/>
      <c r="AF366" s="77"/>
      <c r="AG366" s="79"/>
      <c r="AH366" s="82" t="s">
        <v>169</v>
      </c>
      <c r="AI366" s="82" t="s">
        <v>219</v>
      </c>
      <c r="AJ366" s="82">
        <v>10000000014</v>
      </c>
    </row>
    <row r="367" spans="2:36" ht="15.6" x14ac:dyDescent="0.3">
      <c r="B367" s="88"/>
      <c r="C367" s="76"/>
      <c r="D367" s="88"/>
      <c r="E367" s="88"/>
      <c r="F367" s="76"/>
      <c r="G367" s="76"/>
      <c r="H367" s="76"/>
      <c r="I367" s="89"/>
      <c r="J367" s="89"/>
      <c r="K367" s="76"/>
      <c r="L367" s="76"/>
      <c r="M367" s="76"/>
      <c r="N367" s="76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8"/>
      <c r="AB367" s="77"/>
      <c r="AC367" s="77"/>
      <c r="AD367" s="77"/>
      <c r="AE367" s="77"/>
      <c r="AF367" s="77"/>
      <c r="AG367" s="79"/>
      <c r="AH367" s="82" t="s">
        <v>170</v>
      </c>
      <c r="AI367" s="82" t="s">
        <v>220</v>
      </c>
      <c r="AJ367" s="82">
        <v>10000000015</v>
      </c>
    </row>
    <row r="368" spans="2:36" ht="15.6" x14ac:dyDescent="0.3">
      <c r="B368" s="88"/>
      <c r="C368" s="76"/>
      <c r="D368" s="88"/>
      <c r="E368" s="88"/>
      <c r="F368" s="76"/>
      <c r="G368" s="76"/>
      <c r="H368" s="76"/>
      <c r="I368" s="89"/>
      <c r="J368" s="89"/>
      <c r="K368" s="76"/>
      <c r="L368" s="76"/>
      <c r="M368" s="76"/>
      <c r="N368" s="76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8"/>
      <c r="AB368" s="77"/>
      <c r="AC368" s="77"/>
      <c r="AD368" s="77"/>
      <c r="AE368" s="77"/>
      <c r="AF368" s="77"/>
      <c r="AG368" s="79"/>
      <c r="AH368" s="82" t="s">
        <v>171</v>
      </c>
      <c r="AI368" s="82" t="s">
        <v>221</v>
      </c>
      <c r="AJ368" s="82">
        <v>10000000016</v>
      </c>
    </row>
    <row r="369" spans="2:36" ht="15.6" x14ac:dyDescent="0.3">
      <c r="B369" s="88"/>
      <c r="C369" s="76"/>
      <c r="D369" s="88"/>
      <c r="E369" s="88"/>
      <c r="F369" s="76"/>
      <c r="G369" s="76"/>
      <c r="H369" s="76"/>
      <c r="I369" s="89"/>
      <c r="J369" s="89"/>
      <c r="K369" s="76"/>
      <c r="L369" s="76"/>
      <c r="M369" s="76"/>
      <c r="N369" s="76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8"/>
      <c r="AB369" s="77"/>
      <c r="AC369" s="77"/>
      <c r="AD369" s="77"/>
      <c r="AE369" s="77"/>
      <c r="AF369" s="77"/>
      <c r="AG369" s="79"/>
      <c r="AH369" s="82" t="s">
        <v>172</v>
      </c>
      <c r="AI369" s="82" t="s">
        <v>222</v>
      </c>
      <c r="AJ369" s="82">
        <v>10000000017</v>
      </c>
    </row>
    <row r="370" spans="2:36" ht="15.6" x14ac:dyDescent="0.3">
      <c r="B370" s="88"/>
      <c r="C370" s="76"/>
      <c r="D370" s="88"/>
      <c r="E370" s="88"/>
      <c r="F370" s="76"/>
      <c r="G370" s="76"/>
      <c r="H370" s="76"/>
      <c r="I370" s="89"/>
      <c r="J370" s="89"/>
      <c r="K370" s="76"/>
      <c r="L370" s="76"/>
      <c r="M370" s="76"/>
      <c r="N370" s="76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8"/>
      <c r="AB370" s="77"/>
      <c r="AC370" s="77"/>
      <c r="AD370" s="77"/>
      <c r="AE370" s="77"/>
      <c r="AF370" s="77"/>
      <c r="AG370" s="79"/>
      <c r="AH370" s="82" t="s">
        <v>173</v>
      </c>
      <c r="AI370" s="82" t="s">
        <v>223</v>
      </c>
      <c r="AJ370" s="82">
        <v>10000000018</v>
      </c>
    </row>
    <row r="371" spans="2:36" ht="15.6" x14ac:dyDescent="0.3">
      <c r="B371" s="88"/>
      <c r="C371" s="76"/>
      <c r="D371" s="88"/>
      <c r="E371" s="88"/>
      <c r="F371" s="76"/>
      <c r="G371" s="76"/>
      <c r="H371" s="76"/>
      <c r="I371" s="89"/>
      <c r="J371" s="89"/>
      <c r="K371" s="76"/>
      <c r="L371" s="76"/>
      <c r="M371" s="76"/>
      <c r="N371" s="76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8"/>
      <c r="AB371" s="77"/>
      <c r="AC371" s="77"/>
      <c r="AD371" s="77"/>
      <c r="AE371" s="77"/>
      <c r="AF371" s="77"/>
      <c r="AG371" s="79"/>
      <c r="AH371" s="82" t="s">
        <v>174</v>
      </c>
      <c r="AI371" s="82" t="s">
        <v>224</v>
      </c>
      <c r="AJ371" s="82">
        <v>10000000019</v>
      </c>
    </row>
    <row r="372" spans="2:36" ht="15.6" x14ac:dyDescent="0.3">
      <c r="B372" s="88"/>
      <c r="C372" s="76"/>
      <c r="D372" s="88"/>
      <c r="E372" s="88"/>
      <c r="F372" s="76"/>
      <c r="G372" s="76"/>
      <c r="H372" s="76"/>
      <c r="I372" s="89"/>
      <c r="J372" s="89"/>
      <c r="K372" s="76"/>
      <c r="L372" s="76"/>
      <c r="M372" s="76"/>
      <c r="N372" s="76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8"/>
      <c r="AB372" s="77"/>
      <c r="AC372" s="77"/>
      <c r="AD372" s="77"/>
      <c r="AE372" s="77"/>
      <c r="AF372" s="77"/>
      <c r="AG372" s="79"/>
      <c r="AH372" s="82" t="s">
        <v>175</v>
      </c>
      <c r="AI372" s="82" t="s">
        <v>225</v>
      </c>
      <c r="AJ372" s="82">
        <v>10000000020</v>
      </c>
    </row>
    <row r="373" spans="2:36" ht="15.6" x14ac:dyDescent="0.3">
      <c r="B373" s="88"/>
      <c r="C373" s="76"/>
      <c r="D373" s="88"/>
      <c r="E373" s="88"/>
      <c r="F373" s="76"/>
      <c r="G373" s="76"/>
      <c r="H373" s="76"/>
      <c r="I373" s="89"/>
      <c r="J373" s="89"/>
      <c r="K373" s="76"/>
      <c r="L373" s="76"/>
      <c r="M373" s="76"/>
      <c r="N373" s="76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8"/>
      <c r="AB373" s="77"/>
      <c r="AC373" s="77"/>
      <c r="AD373" s="77"/>
      <c r="AE373" s="77"/>
      <c r="AF373" s="77"/>
      <c r="AG373" s="79"/>
      <c r="AH373" s="82" t="s">
        <v>176</v>
      </c>
      <c r="AI373" s="82" t="s">
        <v>226</v>
      </c>
      <c r="AJ373" s="82">
        <v>10000000021</v>
      </c>
    </row>
    <row r="374" spans="2:36" ht="15.6" x14ac:dyDescent="0.3">
      <c r="B374" s="88"/>
      <c r="C374" s="76"/>
      <c r="D374" s="88"/>
      <c r="E374" s="88"/>
      <c r="F374" s="76"/>
      <c r="G374" s="76"/>
      <c r="H374" s="76"/>
      <c r="I374" s="89"/>
      <c r="J374" s="89"/>
      <c r="K374" s="76"/>
      <c r="L374" s="76"/>
      <c r="M374" s="76"/>
      <c r="N374" s="76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8"/>
      <c r="AB374" s="77"/>
      <c r="AC374" s="77"/>
      <c r="AD374" s="77"/>
      <c r="AE374" s="77"/>
      <c r="AF374" s="77"/>
      <c r="AG374" s="79"/>
      <c r="AH374" s="82" t="s">
        <v>177</v>
      </c>
      <c r="AI374" s="82" t="s">
        <v>227</v>
      </c>
      <c r="AJ374" s="82">
        <v>10000000022</v>
      </c>
    </row>
    <row r="375" spans="2:36" ht="15.6" x14ac:dyDescent="0.3">
      <c r="B375" s="88"/>
      <c r="C375" s="76"/>
      <c r="D375" s="88"/>
      <c r="E375" s="88"/>
      <c r="F375" s="76"/>
      <c r="G375" s="76"/>
      <c r="H375" s="76"/>
      <c r="I375" s="89"/>
      <c r="J375" s="89"/>
      <c r="K375" s="76"/>
      <c r="L375" s="76"/>
      <c r="M375" s="76"/>
      <c r="N375" s="76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8"/>
      <c r="AB375" s="77"/>
      <c r="AC375" s="77"/>
      <c r="AD375" s="77"/>
      <c r="AE375" s="77"/>
      <c r="AF375" s="77"/>
      <c r="AG375" s="79"/>
      <c r="AH375" s="82" t="s">
        <v>178</v>
      </c>
      <c r="AI375" s="82" t="s">
        <v>228</v>
      </c>
      <c r="AJ375" s="82">
        <v>10000000023</v>
      </c>
    </row>
    <row r="376" spans="2:36" ht="15.6" x14ac:dyDescent="0.3">
      <c r="B376" s="88"/>
      <c r="C376" s="76"/>
      <c r="D376" s="88"/>
      <c r="E376" s="88"/>
      <c r="F376" s="76"/>
      <c r="G376" s="76"/>
      <c r="H376" s="76"/>
      <c r="I376" s="89"/>
      <c r="J376" s="89"/>
      <c r="K376" s="76"/>
      <c r="L376" s="76"/>
      <c r="M376" s="76"/>
      <c r="N376" s="76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8"/>
      <c r="AB376" s="77"/>
      <c r="AC376" s="77"/>
      <c r="AD376" s="77"/>
      <c r="AE376" s="77"/>
      <c r="AF376" s="77"/>
      <c r="AG376" s="79"/>
      <c r="AH376" s="82" t="s">
        <v>179</v>
      </c>
      <c r="AI376" s="82" t="s">
        <v>229</v>
      </c>
      <c r="AJ376" s="82">
        <v>10000000024</v>
      </c>
    </row>
    <row r="377" spans="2:36" ht="15.6" x14ac:dyDescent="0.3">
      <c r="B377" s="88"/>
      <c r="C377" s="76"/>
      <c r="D377" s="88"/>
      <c r="E377" s="88"/>
      <c r="F377" s="76"/>
      <c r="G377" s="76"/>
      <c r="H377" s="76"/>
      <c r="I377" s="89"/>
      <c r="J377" s="89"/>
      <c r="K377" s="76"/>
      <c r="L377" s="76"/>
      <c r="M377" s="76"/>
      <c r="N377" s="76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8"/>
      <c r="AB377" s="77"/>
      <c r="AC377" s="77"/>
      <c r="AD377" s="77"/>
      <c r="AE377" s="77"/>
      <c r="AF377" s="77"/>
      <c r="AG377" s="79"/>
      <c r="AH377" s="82" t="s">
        <v>180</v>
      </c>
      <c r="AI377" s="82" t="s">
        <v>230</v>
      </c>
      <c r="AJ377" s="82">
        <v>10000000025</v>
      </c>
    </row>
    <row r="378" spans="2:36" ht="15.6" x14ac:dyDescent="0.3">
      <c r="B378" s="88"/>
      <c r="C378" s="76"/>
      <c r="D378" s="88"/>
      <c r="E378" s="88"/>
      <c r="F378" s="76"/>
      <c r="G378" s="76"/>
      <c r="H378" s="76"/>
      <c r="I378" s="89"/>
      <c r="J378" s="89"/>
      <c r="K378" s="76"/>
      <c r="L378" s="76"/>
      <c r="M378" s="76"/>
      <c r="N378" s="76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8"/>
      <c r="AB378" s="77"/>
      <c r="AC378" s="77"/>
      <c r="AD378" s="77"/>
      <c r="AE378" s="77"/>
      <c r="AF378" s="77"/>
      <c r="AG378" s="79"/>
      <c r="AH378" s="82" t="s">
        <v>181</v>
      </c>
      <c r="AI378" s="82" t="s">
        <v>231</v>
      </c>
      <c r="AJ378" s="82">
        <v>10000000026</v>
      </c>
    </row>
    <row r="379" spans="2:36" ht="15.6" x14ac:dyDescent="0.3">
      <c r="B379" s="88"/>
      <c r="C379" s="76"/>
      <c r="D379" s="88"/>
      <c r="E379" s="88"/>
      <c r="F379" s="76"/>
      <c r="G379" s="76"/>
      <c r="H379" s="76"/>
      <c r="I379" s="89"/>
      <c r="J379" s="89"/>
      <c r="K379" s="76"/>
      <c r="L379" s="76"/>
      <c r="M379" s="76"/>
      <c r="N379" s="76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8"/>
      <c r="AB379" s="77"/>
      <c r="AC379" s="77"/>
      <c r="AD379" s="77"/>
      <c r="AE379" s="77"/>
      <c r="AF379" s="77"/>
      <c r="AG379" s="79"/>
      <c r="AH379" s="82" t="s">
        <v>182</v>
      </c>
      <c r="AI379" s="82" t="s">
        <v>232</v>
      </c>
      <c r="AJ379" s="82">
        <v>10000000027</v>
      </c>
    </row>
    <row r="380" spans="2:36" ht="15.6" x14ac:dyDescent="0.3">
      <c r="B380" s="88"/>
      <c r="C380" s="76"/>
      <c r="D380" s="88"/>
      <c r="E380" s="88"/>
      <c r="F380" s="76"/>
      <c r="G380" s="76"/>
      <c r="H380" s="76"/>
      <c r="I380" s="89"/>
      <c r="J380" s="89"/>
      <c r="K380" s="76"/>
      <c r="L380" s="76"/>
      <c r="M380" s="76"/>
      <c r="N380" s="76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8"/>
      <c r="AB380" s="77"/>
      <c r="AC380" s="77"/>
      <c r="AD380" s="77"/>
      <c r="AE380" s="77"/>
      <c r="AF380" s="77"/>
      <c r="AG380" s="79"/>
      <c r="AH380" s="82" t="s">
        <v>183</v>
      </c>
      <c r="AI380" s="82" t="s">
        <v>233</v>
      </c>
      <c r="AJ380" s="82">
        <v>10000000028</v>
      </c>
    </row>
    <row r="381" spans="2:36" ht="15.6" x14ac:dyDescent="0.3">
      <c r="B381" s="88"/>
      <c r="C381" s="76"/>
      <c r="D381" s="88"/>
      <c r="E381" s="88"/>
      <c r="F381" s="76"/>
      <c r="G381" s="76"/>
      <c r="H381" s="76"/>
      <c r="I381" s="89"/>
      <c r="J381" s="89"/>
      <c r="K381" s="76"/>
      <c r="L381" s="76"/>
      <c r="M381" s="76"/>
      <c r="N381" s="76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8"/>
      <c r="AB381" s="77"/>
      <c r="AC381" s="77"/>
      <c r="AD381" s="77"/>
      <c r="AE381" s="77"/>
      <c r="AF381" s="77"/>
      <c r="AG381" s="79"/>
      <c r="AH381" s="82" t="s">
        <v>184</v>
      </c>
      <c r="AI381" s="82" t="s">
        <v>234</v>
      </c>
      <c r="AJ381" s="82">
        <v>10000000029</v>
      </c>
    </row>
    <row r="382" spans="2:36" ht="15.6" x14ac:dyDescent="0.3">
      <c r="B382" s="88"/>
      <c r="C382" s="76"/>
      <c r="D382" s="88"/>
      <c r="E382" s="88"/>
      <c r="F382" s="76"/>
      <c r="G382" s="76"/>
      <c r="H382" s="76"/>
      <c r="I382" s="89"/>
      <c r="J382" s="89"/>
      <c r="K382" s="76"/>
      <c r="L382" s="76"/>
      <c r="M382" s="76"/>
      <c r="N382" s="76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8"/>
      <c r="AB382" s="77"/>
      <c r="AC382" s="77"/>
      <c r="AD382" s="77"/>
      <c r="AE382" s="77"/>
      <c r="AF382" s="77"/>
      <c r="AG382" s="79"/>
      <c r="AH382" s="82" t="s">
        <v>185</v>
      </c>
      <c r="AI382" s="82" t="s">
        <v>235</v>
      </c>
      <c r="AJ382" s="82">
        <v>10000000030</v>
      </c>
    </row>
    <row r="383" spans="2:36" ht="15.6" x14ac:dyDescent="0.3">
      <c r="B383" s="88"/>
      <c r="C383" s="76"/>
      <c r="D383" s="88"/>
      <c r="E383" s="88"/>
      <c r="F383" s="76"/>
      <c r="G383" s="76"/>
      <c r="H383" s="76"/>
      <c r="I383" s="89"/>
      <c r="J383" s="89"/>
      <c r="K383" s="76"/>
      <c r="L383" s="76"/>
      <c r="M383" s="76"/>
      <c r="N383" s="76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8"/>
      <c r="AB383" s="77"/>
      <c r="AC383" s="77"/>
      <c r="AD383" s="77"/>
      <c r="AE383" s="77"/>
      <c r="AF383" s="77"/>
      <c r="AG383" s="79"/>
      <c r="AH383" s="82" t="s">
        <v>186</v>
      </c>
      <c r="AI383" s="82" t="s">
        <v>236</v>
      </c>
      <c r="AJ383" s="82">
        <v>10000000031</v>
      </c>
    </row>
    <row r="384" spans="2:36" ht="15.6" x14ac:dyDescent="0.3">
      <c r="B384" s="88"/>
      <c r="C384" s="76"/>
      <c r="D384" s="88"/>
      <c r="E384" s="88"/>
      <c r="F384" s="76"/>
      <c r="G384" s="76"/>
      <c r="H384" s="76"/>
      <c r="I384" s="89"/>
      <c r="J384" s="89"/>
      <c r="K384" s="76"/>
      <c r="L384" s="76"/>
      <c r="M384" s="76"/>
      <c r="N384" s="76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8"/>
      <c r="AB384" s="77"/>
      <c r="AC384" s="77"/>
      <c r="AD384" s="77"/>
      <c r="AE384" s="77"/>
      <c r="AF384" s="77"/>
      <c r="AG384" s="79"/>
      <c r="AH384" s="82" t="s">
        <v>187</v>
      </c>
      <c r="AI384" s="82" t="s">
        <v>237</v>
      </c>
      <c r="AJ384" s="82">
        <v>10000000032</v>
      </c>
    </row>
    <row r="385" spans="2:36" ht="15.6" x14ac:dyDescent="0.3">
      <c r="B385" s="88"/>
      <c r="C385" s="76"/>
      <c r="D385" s="88"/>
      <c r="E385" s="88"/>
      <c r="F385" s="76"/>
      <c r="G385" s="76"/>
      <c r="H385" s="76"/>
      <c r="I385" s="89"/>
      <c r="J385" s="89"/>
      <c r="K385" s="76"/>
      <c r="L385" s="76"/>
      <c r="M385" s="76"/>
      <c r="N385" s="76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8"/>
      <c r="AB385" s="77"/>
      <c r="AC385" s="77"/>
      <c r="AD385" s="77"/>
      <c r="AE385" s="77"/>
      <c r="AF385" s="77"/>
      <c r="AG385" s="79"/>
      <c r="AH385" s="82" t="s">
        <v>188</v>
      </c>
      <c r="AI385" s="82" t="s">
        <v>238</v>
      </c>
      <c r="AJ385" s="82">
        <v>10000000033</v>
      </c>
    </row>
    <row r="386" spans="2:36" ht="15.6" x14ac:dyDescent="0.3">
      <c r="B386" s="88"/>
      <c r="C386" s="76"/>
      <c r="D386" s="88"/>
      <c r="E386" s="88"/>
      <c r="F386" s="76"/>
      <c r="G386" s="76"/>
      <c r="H386" s="76"/>
      <c r="I386" s="89"/>
      <c r="J386" s="89"/>
      <c r="K386" s="76"/>
      <c r="L386" s="76"/>
      <c r="M386" s="76"/>
      <c r="N386" s="76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8"/>
      <c r="AB386" s="77"/>
      <c r="AC386" s="77"/>
      <c r="AD386" s="77"/>
      <c r="AE386" s="77"/>
      <c r="AF386" s="77"/>
      <c r="AG386" s="79"/>
      <c r="AH386" s="82" t="s">
        <v>189</v>
      </c>
      <c r="AI386" s="82" t="s">
        <v>239</v>
      </c>
      <c r="AJ386" s="82">
        <v>10000000034</v>
      </c>
    </row>
    <row r="387" spans="2:36" ht="15.6" x14ac:dyDescent="0.3">
      <c r="B387" s="88"/>
      <c r="C387" s="76"/>
      <c r="D387" s="88"/>
      <c r="E387" s="88"/>
      <c r="F387" s="76"/>
      <c r="G387" s="76"/>
      <c r="H387" s="76"/>
      <c r="I387" s="89"/>
      <c r="J387" s="89"/>
      <c r="K387" s="76"/>
      <c r="L387" s="76"/>
      <c r="M387" s="76"/>
      <c r="N387" s="76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8"/>
      <c r="AB387" s="77"/>
      <c r="AC387" s="77"/>
      <c r="AD387" s="77"/>
      <c r="AE387" s="77"/>
      <c r="AF387" s="77"/>
      <c r="AG387" s="79"/>
      <c r="AH387" s="82" t="s">
        <v>190</v>
      </c>
      <c r="AI387" s="82" t="s">
        <v>240</v>
      </c>
      <c r="AJ387" s="82">
        <v>10000000035</v>
      </c>
    </row>
    <row r="388" spans="2:36" ht="15.6" x14ac:dyDescent="0.3">
      <c r="B388" s="88"/>
      <c r="C388" s="76"/>
      <c r="D388" s="88"/>
      <c r="E388" s="88"/>
      <c r="F388" s="76"/>
      <c r="G388" s="76"/>
      <c r="H388" s="76"/>
      <c r="I388" s="89"/>
      <c r="J388" s="89"/>
      <c r="K388" s="76"/>
      <c r="L388" s="76"/>
      <c r="M388" s="76"/>
      <c r="N388" s="76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8"/>
      <c r="AB388" s="77"/>
      <c r="AC388" s="77"/>
      <c r="AD388" s="77"/>
      <c r="AE388" s="77"/>
      <c r="AF388" s="77"/>
      <c r="AG388" s="79"/>
      <c r="AH388" s="82" t="s">
        <v>191</v>
      </c>
      <c r="AI388" s="82" t="s">
        <v>241</v>
      </c>
      <c r="AJ388" s="82">
        <v>10000000036</v>
      </c>
    </row>
    <row r="389" spans="2:36" ht="15.6" x14ac:dyDescent="0.3">
      <c r="B389" s="88"/>
      <c r="C389" s="76"/>
      <c r="D389" s="88"/>
      <c r="E389" s="88"/>
      <c r="F389" s="76"/>
      <c r="G389" s="76"/>
      <c r="H389" s="76"/>
      <c r="I389" s="89"/>
      <c r="J389" s="89"/>
      <c r="K389" s="76"/>
      <c r="L389" s="76"/>
      <c r="M389" s="76"/>
      <c r="N389" s="76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8"/>
      <c r="AB389" s="77"/>
      <c r="AC389" s="77"/>
      <c r="AD389" s="77"/>
      <c r="AE389" s="77"/>
      <c r="AF389" s="77"/>
      <c r="AG389" s="79"/>
      <c r="AH389" s="82" t="s">
        <v>192</v>
      </c>
      <c r="AI389" s="82" t="s">
        <v>242</v>
      </c>
      <c r="AJ389" s="82">
        <v>10000000037</v>
      </c>
    </row>
    <row r="390" spans="2:36" ht="15.6" x14ac:dyDescent="0.3">
      <c r="B390" s="88"/>
      <c r="C390" s="76"/>
      <c r="D390" s="88"/>
      <c r="E390" s="88"/>
      <c r="F390" s="76"/>
      <c r="G390" s="76"/>
      <c r="H390" s="76"/>
      <c r="I390" s="89"/>
      <c r="J390" s="89"/>
      <c r="K390" s="76"/>
      <c r="L390" s="76"/>
      <c r="M390" s="76"/>
      <c r="N390" s="76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8"/>
      <c r="AB390" s="77"/>
      <c r="AC390" s="77"/>
      <c r="AD390" s="77"/>
      <c r="AE390" s="77"/>
      <c r="AF390" s="77"/>
      <c r="AG390" s="79"/>
      <c r="AH390" s="82" t="s">
        <v>193</v>
      </c>
      <c r="AI390" s="82" t="s">
        <v>243</v>
      </c>
      <c r="AJ390" s="82">
        <v>10000000038</v>
      </c>
    </row>
    <row r="391" spans="2:36" ht="15.6" x14ac:dyDescent="0.3">
      <c r="B391" s="88"/>
      <c r="C391" s="76"/>
      <c r="D391" s="88"/>
      <c r="E391" s="88"/>
      <c r="F391" s="76"/>
      <c r="G391" s="76"/>
      <c r="H391" s="76"/>
      <c r="I391" s="89"/>
      <c r="J391" s="89"/>
      <c r="K391" s="76"/>
      <c r="L391" s="76"/>
      <c r="M391" s="76"/>
      <c r="N391" s="76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8"/>
      <c r="AB391" s="77"/>
      <c r="AC391" s="77"/>
      <c r="AD391" s="77"/>
      <c r="AE391" s="77"/>
      <c r="AF391" s="77"/>
      <c r="AG391" s="79"/>
      <c r="AH391" s="82" t="s">
        <v>194</v>
      </c>
      <c r="AI391" s="82" t="s">
        <v>244</v>
      </c>
      <c r="AJ391" s="82">
        <v>10000000039</v>
      </c>
    </row>
    <row r="392" spans="2:36" ht="15.6" x14ac:dyDescent="0.3">
      <c r="B392" s="88"/>
      <c r="C392" s="76"/>
      <c r="D392" s="88"/>
      <c r="E392" s="88"/>
      <c r="F392" s="76"/>
      <c r="G392" s="76"/>
      <c r="H392" s="76"/>
      <c r="I392" s="89"/>
      <c r="J392" s="89"/>
      <c r="K392" s="76"/>
      <c r="L392" s="76"/>
      <c r="M392" s="76"/>
      <c r="N392" s="76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8"/>
      <c r="AB392" s="77"/>
      <c r="AC392" s="77"/>
      <c r="AD392" s="77"/>
      <c r="AE392" s="77"/>
      <c r="AF392" s="77"/>
      <c r="AG392" s="79"/>
      <c r="AH392" s="82" t="s">
        <v>195</v>
      </c>
      <c r="AI392" s="82" t="s">
        <v>245</v>
      </c>
      <c r="AJ392" s="82">
        <v>10000000040</v>
      </c>
    </row>
    <row r="393" spans="2:36" ht="15.6" x14ac:dyDescent="0.3">
      <c r="B393" s="88"/>
      <c r="C393" s="76"/>
      <c r="D393" s="88"/>
      <c r="E393" s="88"/>
      <c r="F393" s="76"/>
      <c r="G393" s="76"/>
      <c r="H393" s="76"/>
      <c r="I393" s="89"/>
      <c r="J393" s="89"/>
      <c r="K393" s="76"/>
      <c r="L393" s="76"/>
      <c r="M393" s="76"/>
      <c r="N393" s="76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8"/>
      <c r="AB393" s="77"/>
      <c r="AC393" s="77"/>
      <c r="AD393" s="77"/>
      <c r="AE393" s="77"/>
      <c r="AF393" s="77"/>
      <c r="AG393" s="79"/>
      <c r="AH393" s="82" t="s">
        <v>196</v>
      </c>
      <c r="AI393" s="82" t="s">
        <v>246</v>
      </c>
      <c r="AJ393" s="82">
        <v>10000000041</v>
      </c>
    </row>
    <row r="394" spans="2:36" ht="15.6" x14ac:dyDescent="0.3">
      <c r="B394" s="88"/>
      <c r="C394" s="76"/>
      <c r="D394" s="88"/>
      <c r="E394" s="88"/>
      <c r="F394" s="76"/>
      <c r="G394" s="76"/>
      <c r="H394" s="76"/>
      <c r="I394" s="89"/>
      <c r="J394" s="89"/>
      <c r="K394" s="76"/>
      <c r="L394" s="76"/>
      <c r="M394" s="76"/>
      <c r="N394" s="76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8"/>
      <c r="AB394" s="77"/>
      <c r="AC394" s="77"/>
      <c r="AD394" s="77"/>
      <c r="AE394" s="77"/>
      <c r="AF394" s="77"/>
      <c r="AG394" s="79"/>
      <c r="AH394" s="82" t="s">
        <v>197</v>
      </c>
      <c r="AI394" s="82" t="s">
        <v>247</v>
      </c>
      <c r="AJ394" s="82">
        <v>10000000042</v>
      </c>
    </row>
    <row r="395" spans="2:36" ht="15.6" x14ac:dyDescent="0.3">
      <c r="B395" s="88"/>
      <c r="C395" s="76"/>
      <c r="D395" s="88"/>
      <c r="E395" s="88"/>
      <c r="F395" s="76"/>
      <c r="G395" s="76"/>
      <c r="H395" s="76"/>
      <c r="I395" s="89"/>
      <c r="J395" s="89"/>
      <c r="K395" s="76"/>
      <c r="L395" s="76"/>
      <c r="M395" s="76"/>
      <c r="N395" s="76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8"/>
      <c r="AB395" s="77"/>
      <c r="AC395" s="77"/>
      <c r="AD395" s="77"/>
      <c r="AE395" s="77"/>
      <c r="AF395" s="77"/>
      <c r="AG395" s="79"/>
      <c r="AH395" s="82" t="s">
        <v>198</v>
      </c>
      <c r="AI395" s="82" t="s">
        <v>248</v>
      </c>
      <c r="AJ395" s="82">
        <v>10000000043</v>
      </c>
    </row>
    <row r="396" spans="2:36" ht="15.6" x14ac:dyDescent="0.3">
      <c r="B396" s="88"/>
      <c r="C396" s="76"/>
      <c r="D396" s="88"/>
      <c r="E396" s="88"/>
      <c r="F396" s="76"/>
      <c r="G396" s="76"/>
      <c r="H396" s="76"/>
      <c r="I396" s="89"/>
      <c r="J396" s="89"/>
      <c r="K396" s="76"/>
      <c r="L396" s="76"/>
      <c r="M396" s="76"/>
      <c r="N396" s="76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8"/>
      <c r="AB396" s="77"/>
      <c r="AC396" s="77"/>
      <c r="AD396" s="77"/>
      <c r="AE396" s="77"/>
      <c r="AF396" s="77"/>
      <c r="AG396" s="79"/>
      <c r="AH396" s="82" t="s">
        <v>199</v>
      </c>
      <c r="AI396" s="82" t="s">
        <v>249</v>
      </c>
      <c r="AJ396" s="82">
        <v>10000000044</v>
      </c>
    </row>
    <row r="397" spans="2:36" ht="15.6" x14ac:dyDescent="0.3">
      <c r="B397" s="88"/>
      <c r="C397" s="76"/>
      <c r="D397" s="88"/>
      <c r="E397" s="88"/>
      <c r="F397" s="76"/>
      <c r="G397" s="76"/>
      <c r="H397" s="76"/>
      <c r="I397" s="89"/>
      <c r="J397" s="89"/>
      <c r="K397" s="76"/>
      <c r="L397" s="76"/>
      <c r="M397" s="76"/>
      <c r="N397" s="76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8"/>
      <c r="AB397" s="77"/>
      <c r="AC397" s="77"/>
      <c r="AD397" s="77"/>
      <c r="AE397" s="77"/>
      <c r="AF397" s="77"/>
      <c r="AG397" s="79"/>
      <c r="AH397" s="82" t="s">
        <v>200</v>
      </c>
      <c r="AI397" s="82" t="s">
        <v>250</v>
      </c>
      <c r="AJ397" s="82">
        <v>10000000045</v>
      </c>
    </row>
    <row r="398" spans="2:36" ht="15.6" x14ac:dyDescent="0.3">
      <c r="B398" s="88"/>
      <c r="C398" s="76"/>
      <c r="D398" s="88"/>
      <c r="E398" s="88"/>
      <c r="F398" s="76"/>
      <c r="G398" s="76"/>
      <c r="H398" s="76"/>
      <c r="I398" s="89"/>
      <c r="J398" s="89"/>
      <c r="K398" s="76"/>
      <c r="L398" s="76"/>
      <c r="M398" s="76"/>
      <c r="N398" s="76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8"/>
      <c r="AB398" s="77"/>
      <c r="AC398" s="77"/>
      <c r="AD398" s="77"/>
      <c r="AE398" s="77"/>
      <c r="AF398" s="77"/>
      <c r="AG398" s="79"/>
      <c r="AH398" s="82" t="s">
        <v>201</v>
      </c>
      <c r="AI398" s="82" t="s">
        <v>251</v>
      </c>
      <c r="AJ398" s="82">
        <v>10000000046</v>
      </c>
    </row>
    <row r="399" spans="2:36" ht="15.6" x14ac:dyDescent="0.3">
      <c r="B399" s="88"/>
      <c r="C399" s="76"/>
      <c r="D399" s="88"/>
      <c r="E399" s="88"/>
      <c r="F399" s="76"/>
      <c r="G399" s="76"/>
      <c r="H399" s="76"/>
      <c r="I399" s="89"/>
      <c r="J399" s="89"/>
      <c r="K399" s="76"/>
      <c r="L399" s="76"/>
      <c r="M399" s="76"/>
      <c r="N399" s="76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8"/>
      <c r="AB399" s="77"/>
      <c r="AC399" s="77"/>
      <c r="AD399" s="77"/>
      <c r="AE399" s="77"/>
      <c r="AF399" s="77"/>
      <c r="AG399" s="79"/>
      <c r="AH399" s="82" t="s">
        <v>202</v>
      </c>
      <c r="AI399" s="82" t="s">
        <v>252</v>
      </c>
      <c r="AJ399" s="82">
        <v>10000000047</v>
      </c>
    </row>
    <row r="400" spans="2:36" ht="15.6" x14ac:dyDescent="0.3">
      <c r="B400" s="88"/>
      <c r="C400" s="76"/>
      <c r="D400" s="88"/>
      <c r="E400" s="88"/>
      <c r="F400" s="76"/>
      <c r="G400" s="76"/>
      <c r="H400" s="76"/>
      <c r="I400" s="89"/>
      <c r="J400" s="89"/>
      <c r="K400" s="76"/>
      <c r="L400" s="76"/>
      <c r="M400" s="76"/>
      <c r="N400" s="76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8"/>
      <c r="AB400" s="77"/>
      <c r="AC400" s="77"/>
      <c r="AD400" s="77"/>
      <c r="AE400" s="77"/>
      <c r="AF400" s="77"/>
      <c r="AG400" s="79"/>
      <c r="AH400" s="82" t="s">
        <v>203</v>
      </c>
      <c r="AI400" s="82" t="s">
        <v>253</v>
      </c>
      <c r="AJ400" s="82">
        <v>10000000048</v>
      </c>
    </row>
    <row r="401" spans="2:36" ht="15.6" x14ac:dyDescent="0.3">
      <c r="B401" s="88"/>
      <c r="C401" s="76"/>
      <c r="D401" s="88"/>
      <c r="E401" s="88"/>
      <c r="F401" s="76"/>
      <c r="G401" s="76"/>
      <c r="H401" s="76"/>
      <c r="I401" s="89"/>
      <c r="J401" s="89"/>
      <c r="K401" s="76"/>
      <c r="L401" s="76"/>
      <c r="M401" s="76"/>
      <c r="N401" s="76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8"/>
      <c r="AB401" s="77"/>
      <c r="AC401" s="77"/>
      <c r="AD401" s="77"/>
      <c r="AE401" s="77"/>
      <c r="AF401" s="77"/>
      <c r="AG401" s="79"/>
      <c r="AH401" s="82" t="s">
        <v>204</v>
      </c>
      <c r="AI401" s="82" t="s">
        <v>254</v>
      </c>
      <c r="AJ401" s="82">
        <v>10000000049</v>
      </c>
    </row>
    <row r="402" spans="2:36" ht="15.6" x14ac:dyDescent="0.3">
      <c r="B402" s="88"/>
      <c r="C402" s="76"/>
      <c r="D402" s="88"/>
      <c r="E402" s="88"/>
      <c r="F402" s="76"/>
      <c r="G402" s="76"/>
      <c r="H402" s="76"/>
      <c r="I402" s="89"/>
      <c r="J402" s="89"/>
      <c r="K402" s="76"/>
      <c r="L402" s="76"/>
      <c r="M402" s="76"/>
      <c r="N402" s="76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8"/>
      <c r="AB402" s="77"/>
      <c r="AC402" s="77"/>
      <c r="AD402" s="77"/>
      <c r="AE402" s="77"/>
      <c r="AF402" s="77"/>
      <c r="AG402" s="79"/>
      <c r="AH402" s="82" t="s">
        <v>205</v>
      </c>
      <c r="AI402" s="82" t="s">
        <v>255</v>
      </c>
      <c r="AJ402" s="82">
        <v>10000000050</v>
      </c>
    </row>
    <row r="403" spans="2:36" ht="15.6" x14ac:dyDescent="0.3">
      <c r="B403" s="88"/>
      <c r="C403" s="76"/>
      <c r="D403" s="88"/>
      <c r="E403" s="88"/>
      <c r="F403" s="76"/>
      <c r="G403" s="76"/>
      <c r="H403" s="76"/>
      <c r="I403" s="89"/>
      <c r="J403" s="89"/>
      <c r="K403" s="76"/>
      <c r="L403" s="76"/>
      <c r="M403" s="76"/>
      <c r="N403" s="76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8"/>
      <c r="AB403" s="77"/>
      <c r="AC403" s="77"/>
      <c r="AD403" s="77"/>
      <c r="AE403" s="77"/>
      <c r="AF403" s="77"/>
      <c r="AG403" s="79"/>
    </row>
    <row r="404" spans="2:36" ht="15.6" x14ac:dyDescent="0.3">
      <c r="B404" s="88"/>
      <c r="C404" s="76"/>
      <c r="D404" s="88"/>
      <c r="E404" s="88"/>
      <c r="F404" s="76"/>
      <c r="G404" s="76"/>
      <c r="H404" s="76"/>
      <c r="I404" s="89"/>
      <c r="J404" s="89"/>
      <c r="K404" s="76"/>
      <c r="L404" s="76"/>
      <c r="M404" s="76"/>
      <c r="N404" s="76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8"/>
      <c r="AB404" s="77"/>
      <c r="AC404" s="77"/>
      <c r="AD404" s="77"/>
      <c r="AE404" s="77"/>
      <c r="AF404" s="77"/>
      <c r="AG404" s="79"/>
    </row>
    <row r="405" spans="2:36" ht="15.6" x14ac:dyDescent="0.3">
      <c r="B405" s="88"/>
      <c r="C405" s="76"/>
      <c r="D405" s="88"/>
      <c r="E405" s="88"/>
      <c r="F405" s="76"/>
      <c r="G405" s="76"/>
      <c r="H405" s="76"/>
      <c r="I405" s="89"/>
      <c r="J405" s="89"/>
      <c r="K405" s="76"/>
      <c r="L405" s="76"/>
      <c r="M405" s="76"/>
      <c r="N405" s="76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8"/>
      <c r="AB405" s="77"/>
      <c r="AC405" s="77"/>
      <c r="AD405" s="77"/>
      <c r="AE405" s="77"/>
      <c r="AF405" s="77"/>
      <c r="AG405" s="79"/>
    </row>
    <row r="406" spans="2:36" ht="15.6" x14ac:dyDescent="0.3">
      <c r="B406" s="88"/>
      <c r="C406" s="76"/>
      <c r="D406" s="88"/>
      <c r="E406" s="88"/>
      <c r="F406" s="76"/>
      <c r="G406" s="76"/>
      <c r="H406" s="76"/>
      <c r="I406" s="89"/>
      <c r="J406" s="89"/>
      <c r="K406" s="76"/>
      <c r="L406" s="76"/>
      <c r="M406" s="76"/>
      <c r="N406" s="76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8"/>
      <c r="AB406" s="77"/>
      <c r="AC406" s="77"/>
      <c r="AD406" s="77"/>
      <c r="AE406" s="77"/>
      <c r="AF406" s="77"/>
      <c r="AG406" s="79"/>
    </row>
    <row r="407" spans="2:36" ht="15.6" x14ac:dyDescent="0.3">
      <c r="B407" s="88"/>
      <c r="C407" s="76"/>
      <c r="D407" s="88"/>
      <c r="E407" s="88"/>
      <c r="F407" s="76"/>
      <c r="G407" s="76"/>
      <c r="H407" s="76"/>
      <c r="I407" s="89"/>
      <c r="J407" s="89"/>
      <c r="K407" s="76"/>
      <c r="L407" s="76"/>
      <c r="M407" s="76"/>
      <c r="N407" s="76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8"/>
      <c r="AB407" s="77"/>
      <c r="AC407" s="77"/>
      <c r="AD407" s="77"/>
      <c r="AE407" s="77"/>
      <c r="AF407" s="77"/>
      <c r="AG407" s="79"/>
    </row>
    <row r="408" spans="2:36" ht="15.6" x14ac:dyDescent="0.3">
      <c r="B408" s="88"/>
      <c r="C408" s="76"/>
      <c r="D408" s="88"/>
      <c r="E408" s="88"/>
      <c r="F408" s="76"/>
      <c r="G408" s="76"/>
      <c r="H408" s="76"/>
      <c r="I408" s="89"/>
      <c r="J408" s="89"/>
      <c r="K408" s="76"/>
      <c r="L408" s="76"/>
      <c r="M408" s="76"/>
      <c r="N408" s="76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8"/>
      <c r="AB408" s="77"/>
      <c r="AC408" s="77"/>
      <c r="AD408" s="77"/>
      <c r="AE408" s="77"/>
      <c r="AF408" s="77"/>
      <c r="AG408" s="79"/>
    </row>
    <row r="409" spans="2:36" ht="15.6" x14ac:dyDescent="0.3">
      <c r="B409" s="88"/>
      <c r="C409" s="76"/>
      <c r="D409" s="88"/>
      <c r="E409" s="88"/>
      <c r="F409" s="76"/>
      <c r="G409" s="76"/>
      <c r="H409" s="76"/>
      <c r="I409" s="89"/>
      <c r="J409" s="89"/>
      <c r="K409" s="76"/>
      <c r="L409" s="76"/>
      <c r="M409" s="76"/>
      <c r="N409" s="76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8"/>
      <c r="AB409" s="77"/>
      <c r="AC409" s="77"/>
      <c r="AD409" s="77"/>
      <c r="AE409" s="77"/>
      <c r="AF409" s="77"/>
      <c r="AG409" s="79"/>
    </row>
    <row r="410" spans="2:36" ht="15.6" x14ac:dyDescent="0.3">
      <c r="B410" s="88"/>
      <c r="C410" s="76"/>
      <c r="D410" s="88"/>
      <c r="E410" s="88"/>
      <c r="F410" s="76"/>
      <c r="G410" s="76"/>
      <c r="H410" s="76"/>
      <c r="I410" s="89"/>
      <c r="J410" s="89"/>
      <c r="K410" s="76"/>
      <c r="L410" s="76"/>
      <c r="M410" s="76"/>
      <c r="N410" s="76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8"/>
      <c r="AB410" s="77"/>
      <c r="AC410" s="77"/>
      <c r="AD410" s="77"/>
      <c r="AE410" s="77"/>
      <c r="AF410" s="77"/>
      <c r="AG410" s="79"/>
    </row>
    <row r="411" spans="2:36" ht="15.6" x14ac:dyDescent="0.3">
      <c r="B411" s="88"/>
      <c r="C411" s="76"/>
      <c r="D411" s="88"/>
      <c r="E411" s="88"/>
      <c r="F411" s="76"/>
      <c r="G411" s="76"/>
      <c r="H411" s="76"/>
      <c r="I411" s="89"/>
      <c r="J411" s="89"/>
      <c r="K411" s="76"/>
      <c r="L411" s="76"/>
      <c r="M411" s="76"/>
      <c r="N411" s="76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8"/>
      <c r="AB411" s="77"/>
      <c r="AC411" s="77"/>
      <c r="AD411" s="77"/>
      <c r="AE411" s="77"/>
      <c r="AF411" s="77"/>
      <c r="AG411" s="79"/>
    </row>
    <row r="412" spans="2:36" ht="15.6" x14ac:dyDescent="0.3">
      <c r="B412" s="88"/>
      <c r="C412" s="76"/>
      <c r="D412" s="88"/>
      <c r="E412" s="88"/>
      <c r="F412" s="76"/>
      <c r="G412" s="76"/>
      <c r="H412" s="76"/>
      <c r="I412" s="89"/>
      <c r="J412" s="89"/>
      <c r="K412" s="76"/>
      <c r="L412" s="76"/>
      <c r="M412" s="76"/>
      <c r="N412" s="76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8"/>
      <c r="AB412" s="77"/>
      <c r="AC412" s="77"/>
      <c r="AD412" s="77"/>
      <c r="AE412" s="77"/>
      <c r="AF412" s="77"/>
      <c r="AG412" s="79"/>
    </row>
    <row r="413" spans="2:36" ht="15.6" x14ac:dyDescent="0.3">
      <c r="B413" s="88"/>
      <c r="C413" s="76"/>
      <c r="D413" s="88"/>
      <c r="E413" s="88"/>
      <c r="F413" s="76"/>
      <c r="G413" s="76"/>
      <c r="H413" s="76"/>
      <c r="I413" s="89"/>
      <c r="J413" s="89"/>
      <c r="K413" s="76"/>
      <c r="L413" s="76"/>
      <c r="M413" s="76"/>
      <c r="N413" s="76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8"/>
      <c r="AB413" s="77"/>
      <c r="AC413" s="77"/>
      <c r="AD413" s="77"/>
      <c r="AE413" s="77"/>
      <c r="AF413" s="77"/>
      <c r="AG413" s="79"/>
    </row>
    <row r="414" spans="2:36" ht="15.6" x14ac:dyDescent="0.3">
      <c r="B414" s="88"/>
      <c r="C414" s="76"/>
      <c r="D414" s="88"/>
      <c r="E414" s="88"/>
      <c r="F414" s="76"/>
      <c r="G414" s="76"/>
      <c r="H414" s="76"/>
      <c r="I414" s="89"/>
      <c r="J414" s="89"/>
      <c r="K414" s="76"/>
      <c r="L414" s="76"/>
      <c r="M414" s="76"/>
      <c r="N414" s="76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8"/>
      <c r="AB414" s="77"/>
      <c r="AC414" s="77"/>
      <c r="AD414" s="77"/>
      <c r="AE414" s="77"/>
      <c r="AF414" s="77"/>
      <c r="AG414" s="79"/>
    </row>
    <row r="415" spans="2:36" ht="15.6" x14ac:dyDescent="0.3">
      <c r="B415" s="88"/>
      <c r="C415" s="76"/>
      <c r="D415" s="88"/>
      <c r="E415" s="88"/>
      <c r="F415" s="76"/>
      <c r="G415" s="76"/>
      <c r="H415" s="76"/>
      <c r="I415" s="89"/>
      <c r="J415" s="89"/>
      <c r="K415" s="76"/>
      <c r="L415" s="76"/>
      <c r="M415" s="76"/>
      <c r="N415" s="76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8"/>
      <c r="AB415" s="77"/>
      <c r="AC415" s="77"/>
      <c r="AD415" s="77"/>
      <c r="AE415" s="77"/>
      <c r="AF415" s="77"/>
      <c r="AG415" s="79"/>
    </row>
    <row r="416" spans="2:36" ht="15.6" x14ac:dyDescent="0.3">
      <c r="B416" s="88"/>
      <c r="C416" s="76"/>
      <c r="D416" s="88"/>
      <c r="E416" s="88"/>
      <c r="F416" s="76"/>
      <c r="G416" s="76"/>
      <c r="H416" s="76"/>
      <c r="I416" s="89"/>
      <c r="J416" s="89"/>
      <c r="K416" s="76"/>
      <c r="L416" s="76"/>
      <c r="M416" s="76"/>
      <c r="N416" s="76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8"/>
      <c r="AB416" s="77"/>
      <c r="AC416" s="77"/>
      <c r="AD416" s="77"/>
      <c r="AE416" s="77"/>
      <c r="AF416" s="77"/>
      <c r="AG416" s="79"/>
    </row>
    <row r="417" spans="2:33" ht="15.6" x14ac:dyDescent="0.3">
      <c r="B417" s="88"/>
      <c r="C417" s="76"/>
      <c r="D417" s="88"/>
      <c r="E417" s="88"/>
      <c r="F417" s="76"/>
      <c r="G417" s="76"/>
      <c r="H417" s="76"/>
      <c r="I417" s="89"/>
      <c r="J417" s="89"/>
      <c r="K417" s="76"/>
      <c r="L417" s="76"/>
      <c r="M417" s="76"/>
      <c r="N417" s="76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8"/>
      <c r="AB417" s="77"/>
      <c r="AC417" s="77"/>
      <c r="AD417" s="77"/>
      <c r="AE417" s="77"/>
      <c r="AF417" s="77"/>
      <c r="AG417" s="79"/>
    </row>
    <row r="418" spans="2:33" ht="15.6" x14ac:dyDescent="0.3">
      <c r="B418" s="88"/>
      <c r="C418" s="76"/>
      <c r="D418" s="88"/>
      <c r="E418" s="88"/>
      <c r="F418" s="76"/>
      <c r="G418" s="76"/>
      <c r="H418" s="76"/>
      <c r="I418" s="89"/>
      <c r="J418" s="89"/>
      <c r="K418" s="76"/>
      <c r="L418" s="76"/>
      <c r="M418" s="76"/>
      <c r="N418" s="76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8"/>
      <c r="AB418" s="77"/>
      <c r="AC418" s="77"/>
      <c r="AD418" s="77"/>
      <c r="AE418" s="77"/>
      <c r="AF418" s="77"/>
      <c r="AG418" s="79"/>
    </row>
    <row r="419" spans="2:33" ht="15.6" x14ac:dyDescent="0.3">
      <c r="B419" s="88"/>
      <c r="C419" s="76"/>
      <c r="D419" s="88"/>
      <c r="E419" s="88"/>
      <c r="F419" s="76"/>
      <c r="G419" s="76"/>
      <c r="H419" s="76"/>
      <c r="I419" s="89"/>
      <c r="J419" s="89"/>
      <c r="K419" s="76"/>
      <c r="L419" s="76"/>
      <c r="M419" s="76"/>
      <c r="N419" s="76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8"/>
      <c r="AB419" s="77"/>
      <c r="AC419" s="77"/>
      <c r="AD419" s="77"/>
      <c r="AE419" s="77"/>
      <c r="AF419" s="77"/>
      <c r="AG419" s="79"/>
    </row>
    <row r="420" spans="2:33" ht="15.6" x14ac:dyDescent="0.3">
      <c r="B420" s="88"/>
      <c r="C420" s="76"/>
      <c r="D420" s="88"/>
      <c r="E420" s="88"/>
      <c r="F420" s="76"/>
      <c r="G420" s="76"/>
      <c r="H420" s="76"/>
      <c r="I420" s="89"/>
      <c r="J420" s="89"/>
      <c r="K420" s="76"/>
      <c r="L420" s="76"/>
      <c r="M420" s="76"/>
      <c r="N420" s="76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8"/>
      <c r="AB420" s="77"/>
      <c r="AC420" s="77"/>
      <c r="AD420" s="77"/>
      <c r="AE420" s="77"/>
      <c r="AF420" s="77"/>
      <c r="AG420" s="79"/>
    </row>
    <row r="421" spans="2:33" ht="15.6" x14ac:dyDescent="0.3">
      <c r="B421" s="88"/>
      <c r="C421" s="76"/>
      <c r="D421" s="88"/>
      <c r="E421" s="88"/>
      <c r="F421" s="76"/>
      <c r="G421" s="76"/>
      <c r="H421" s="76"/>
      <c r="I421" s="89"/>
      <c r="J421" s="89"/>
      <c r="K421" s="76"/>
      <c r="L421" s="76"/>
      <c r="M421" s="76"/>
      <c r="N421" s="76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8"/>
      <c r="AB421" s="77"/>
      <c r="AC421" s="77"/>
      <c r="AD421" s="77"/>
      <c r="AE421" s="77"/>
      <c r="AF421" s="77"/>
      <c r="AG421" s="79"/>
    </row>
    <row r="422" spans="2:33" ht="15.6" x14ac:dyDescent="0.3">
      <c r="B422" s="88"/>
      <c r="C422" s="76"/>
      <c r="D422" s="88"/>
      <c r="E422" s="88"/>
      <c r="F422" s="76"/>
      <c r="G422" s="76"/>
      <c r="H422" s="76"/>
      <c r="I422" s="89"/>
      <c r="J422" s="89"/>
      <c r="K422" s="76"/>
      <c r="L422" s="76"/>
      <c r="M422" s="76"/>
      <c r="N422" s="76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8"/>
      <c r="AB422" s="77"/>
      <c r="AC422" s="77"/>
      <c r="AD422" s="77"/>
      <c r="AE422" s="77"/>
      <c r="AF422" s="77"/>
      <c r="AG422" s="79"/>
    </row>
    <row r="423" spans="2:33" ht="15.6" x14ac:dyDescent="0.3">
      <c r="B423" s="88"/>
      <c r="C423" s="76"/>
      <c r="D423" s="88"/>
      <c r="E423" s="88"/>
      <c r="F423" s="76"/>
      <c r="G423" s="76"/>
      <c r="H423" s="76"/>
      <c r="I423" s="89"/>
      <c r="J423" s="89"/>
      <c r="K423" s="76"/>
      <c r="L423" s="76"/>
      <c r="M423" s="76"/>
      <c r="N423" s="76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8"/>
      <c r="AB423" s="77"/>
      <c r="AC423" s="77"/>
      <c r="AD423" s="77"/>
      <c r="AE423" s="77"/>
      <c r="AF423" s="77"/>
      <c r="AG423" s="79"/>
    </row>
    <row r="424" spans="2:33" ht="15.6" x14ac:dyDescent="0.3">
      <c r="B424" s="88"/>
      <c r="C424" s="76"/>
      <c r="D424" s="88"/>
      <c r="E424" s="88"/>
      <c r="F424" s="76"/>
      <c r="G424" s="76"/>
      <c r="H424" s="76"/>
      <c r="I424" s="89"/>
      <c r="J424" s="89"/>
      <c r="K424" s="76"/>
      <c r="L424" s="76"/>
      <c r="M424" s="76"/>
      <c r="N424" s="76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8"/>
      <c r="AB424" s="77"/>
      <c r="AC424" s="77"/>
      <c r="AD424" s="77"/>
      <c r="AE424" s="77"/>
      <c r="AF424" s="77"/>
      <c r="AG424" s="79"/>
    </row>
    <row r="425" spans="2:33" ht="15.6" x14ac:dyDescent="0.3">
      <c r="B425" s="88"/>
      <c r="C425" s="76"/>
      <c r="D425" s="88"/>
      <c r="E425" s="88"/>
      <c r="F425" s="76"/>
      <c r="G425" s="76"/>
      <c r="H425" s="76"/>
      <c r="I425" s="89"/>
      <c r="J425" s="89"/>
      <c r="K425" s="76"/>
      <c r="L425" s="76"/>
      <c r="M425" s="76"/>
      <c r="N425" s="76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8"/>
      <c r="AB425" s="77"/>
      <c r="AC425" s="77"/>
      <c r="AD425" s="77"/>
      <c r="AE425" s="77"/>
      <c r="AF425" s="77"/>
      <c r="AG425" s="79"/>
    </row>
    <row r="426" spans="2:33" ht="15.6" x14ac:dyDescent="0.3">
      <c r="B426" s="88"/>
      <c r="C426" s="76"/>
      <c r="D426" s="88"/>
      <c r="E426" s="88"/>
      <c r="F426" s="76"/>
      <c r="G426" s="76"/>
      <c r="H426" s="76"/>
      <c r="I426" s="89"/>
      <c r="J426" s="89"/>
      <c r="K426" s="76"/>
      <c r="L426" s="76"/>
      <c r="M426" s="76"/>
      <c r="N426" s="76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8"/>
      <c r="AB426" s="77"/>
      <c r="AC426" s="77"/>
      <c r="AD426" s="77"/>
      <c r="AE426" s="77"/>
      <c r="AF426" s="77"/>
      <c r="AG426" s="79"/>
    </row>
    <row r="427" spans="2:33" ht="15.6" x14ac:dyDescent="0.3">
      <c r="B427" s="88"/>
      <c r="C427" s="76"/>
      <c r="D427" s="88"/>
      <c r="E427" s="88"/>
      <c r="F427" s="76"/>
      <c r="G427" s="76"/>
      <c r="H427" s="76"/>
      <c r="I427" s="89"/>
      <c r="J427" s="89"/>
      <c r="K427" s="76"/>
      <c r="L427" s="76"/>
      <c r="M427" s="76"/>
      <c r="N427" s="76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8"/>
      <c r="AB427" s="77"/>
      <c r="AC427" s="77"/>
      <c r="AD427" s="77"/>
      <c r="AE427" s="77"/>
      <c r="AF427" s="77"/>
      <c r="AG427" s="79"/>
    </row>
    <row r="428" spans="2:33" ht="15.6" x14ac:dyDescent="0.3">
      <c r="B428" s="88"/>
      <c r="C428" s="76"/>
      <c r="D428" s="88"/>
      <c r="E428" s="88"/>
      <c r="F428" s="76"/>
      <c r="G428" s="76"/>
      <c r="H428" s="76"/>
      <c r="I428" s="89"/>
      <c r="J428" s="89"/>
      <c r="K428" s="76"/>
      <c r="L428" s="76"/>
      <c r="M428" s="76"/>
      <c r="N428" s="76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8"/>
      <c r="AB428" s="77"/>
      <c r="AC428" s="77"/>
      <c r="AD428" s="77"/>
      <c r="AE428" s="77"/>
      <c r="AF428" s="77"/>
      <c r="AG428" s="79"/>
    </row>
    <row r="429" spans="2:33" ht="15.6" x14ac:dyDescent="0.3">
      <c r="B429" s="88"/>
      <c r="C429" s="76"/>
      <c r="D429" s="88"/>
      <c r="E429" s="88"/>
      <c r="F429" s="76"/>
      <c r="G429" s="76"/>
      <c r="H429" s="76"/>
      <c r="I429" s="89"/>
      <c r="J429" s="89"/>
      <c r="K429" s="76"/>
      <c r="L429" s="76"/>
      <c r="M429" s="76"/>
      <c r="N429" s="76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8"/>
      <c r="AB429" s="77"/>
      <c r="AC429" s="77"/>
      <c r="AD429" s="77"/>
      <c r="AE429" s="77"/>
      <c r="AF429" s="77"/>
      <c r="AG429" s="79"/>
    </row>
    <row r="430" spans="2:33" ht="15.6" x14ac:dyDescent="0.3">
      <c r="B430" s="88"/>
      <c r="C430" s="76"/>
      <c r="D430" s="88"/>
      <c r="E430" s="88"/>
      <c r="F430" s="76"/>
      <c r="G430" s="76"/>
      <c r="H430" s="76"/>
      <c r="I430" s="89"/>
      <c r="J430" s="89"/>
      <c r="K430" s="76"/>
      <c r="L430" s="76"/>
      <c r="M430" s="76"/>
      <c r="N430" s="76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8"/>
      <c r="AB430" s="77"/>
      <c r="AC430" s="77"/>
      <c r="AD430" s="77"/>
      <c r="AE430" s="77"/>
      <c r="AF430" s="77"/>
      <c r="AG430" s="79"/>
    </row>
    <row r="431" spans="2:33" ht="15.6" x14ac:dyDescent="0.3">
      <c r="B431" s="88"/>
      <c r="C431" s="76"/>
      <c r="D431" s="88"/>
      <c r="E431" s="88"/>
      <c r="F431" s="76"/>
      <c r="G431" s="76"/>
      <c r="H431" s="76"/>
      <c r="I431" s="89"/>
      <c r="J431" s="89"/>
      <c r="K431" s="76"/>
      <c r="L431" s="76"/>
      <c r="M431" s="76"/>
      <c r="N431" s="76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8"/>
      <c r="AB431" s="77"/>
      <c r="AC431" s="77"/>
      <c r="AD431" s="77"/>
      <c r="AE431" s="77"/>
      <c r="AF431" s="77"/>
      <c r="AG431" s="79"/>
    </row>
    <row r="432" spans="2:33" ht="15.6" x14ac:dyDescent="0.3">
      <c r="B432" s="88"/>
      <c r="C432" s="76"/>
      <c r="D432" s="88"/>
      <c r="E432" s="88"/>
      <c r="F432" s="76"/>
      <c r="G432" s="76"/>
      <c r="H432" s="76"/>
      <c r="I432" s="89"/>
      <c r="J432" s="89"/>
      <c r="K432" s="76"/>
      <c r="L432" s="76"/>
      <c r="M432" s="76"/>
      <c r="N432" s="76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8"/>
      <c r="AB432" s="77"/>
      <c r="AC432" s="77"/>
      <c r="AD432" s="77"/>
      <c r="AE432" s="77"/>
      <c r="AF432" s="77"/>
      <c r="AG432" s="79"/>
    </row>
    <row r="433" spans="2:33" ht="15.6" x14ac:dyDescent="0.3">
      <c r="B433" s="88"/>
      <c r="C433" s="76"/>
      <c r="D433" s="88"/>
      <c r="E433" s="88"/>
      <c r="F433" s="76"/>
      <c r="G433" s="76"/>
      <c r="H433" s="76"/>
      <c r="I433" s="89"/>
      <c r="J433" s="89"/>
      <c r="K433" s="76"/>
      <c r="L433" s="76"/>
      <c r="M433" s="76"/>
      <c r="N433" s="76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8"/>
      <c r="AB433" s="77"/>
      <c r="AC433" s="77"/>
      <c r="AD433" s="77"/>
      <c r="AE433" s="77"/>
      <c r="AF433" s="77"/>
      <c r="AG433" s="79"/>
    </row>
    <row r="434" spans="2:33" ht="15.6" x14ac:dyDescent="0.3">
      <c r="B434" s="88"/>
      <c r="C434" s="76"/>
      <c r="D434" s="88"/>
      <c r="E434" s="88"/>
      <c r="F434" s="76"/>
      <c r="G434" s="76"/>
      <c r="H434" s="76"/>
      <c r="I434" s="89"/>
      <c r="J434" s="89"/>
      <c r="K434" s="76"/>
      <c r="L434" s="76"/>
      <c r="M434" s="76"/>
      <c r="N434" s="76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8"/>
      <c r="AB434" s="77"/>
      <c r="AC434" s="77"/>
      <c r="AD434" s="77"/>
      <c r="AE434" s="77"/>
      <c r="AF434" s="77"/>
      <c r="AG434" s="79"/>
    </row>
    <row r="435" spans="2:33" ht="15.6" x14ac:dyDescent="0.3">
      <c r="B435" s="88"/>
      <c r="C435" s="76"/>
      <c r="D435" s="88"/>
      <c r="E435" s="88"/>
      <c r="F435" s="76"/>
      <c r="G435" s="76"/>
      <c r="H435" s="76"/>
      <c r="I435" s="89"/>
      <c r="J435" s="89"/>
      <c r="K435" s="76"/>
      <c r="L435" s="76"/>
      <c r="M435" s="76"/>
      <c r="N435" s="76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8"/>
      <c r="AB435" s="77"/>
      <c r="AC435" s="77"/>
      <c r="AD435" s="77"/>
      <c r="AE435" s="77"/>
      <c r="AF435" s="77"/>
      <c r="AG435" s="79"/>
    </row>
    <row r="436" spans="2:33" ht="15.6" x14ac:dyDescent="0.3">
      <c r="B436" s="88"/>
      <c r="C436" s="76"/>
      <c r="D436" s="88"/>
      <c r="E436" s="88"/>
      <c r="F436" s="76"/>
      <c r="G436" s="76"/>
      <c r="H436" s="76"/>
      <c r="I436" s="89"/>
      <c r="J436" s="89"/>
      <c r="K436" s="76"/>
      <c r="L436" s="76"/>
      <c r="M436" s="76"/>
      <c r="N436" s="76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8"/>
      <c r="AB436" s="77"/>
      <c r="AC436" s="77"/>
      <c r="AD436" s="77"/>
      <c r="AE436" s="77"/>
      <c r="AF436" s="77"/>
      <c r="AG436" s="79"/>
    </row>
    <row r="437" spans="2:33" ht="15.6" x14ac:dyDescent="0.3">
      <c r="B437" s="88"/>
      <c r="C437" s="76"/>
      <c r="D437" s="88"/>
      <c r="E437" s="88"/>
      <c r="F437" s="76"/>
      <c r="G437" s="76"/>
      <c r="H437" s="76"/>
      <c r="I437" s="89"/>
      <c r="J437" s="89"/>
      <c r="K437" s="76"/>
      <c r="L437" s="76"/>
      <c r="M437" s="76"/>
      <c r="N437" s="76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8"/>
      <c r="AB437" s="77"/>
      <c r="AC437" s="77"/>
      <c r="AD437" s="77"/>
      <c r="AE437" s="77"/>
      <c r="AF437" s="77"/>
      <c r="AG437" s="79"/>
    </row>
    <row r="438" spans="2:33" ht="15.6" x14ac:dyDescent="0.3">
      <c r="B438" s="88"/>
      <c r="C438" s="76"/>
      <c r="D438" s="88"/>
      <c r="E438" s="88"/>
      <c r="F438" s="76"/>
      <c r="G438" s="76"/>
      <c r="H438" s="76"/>
      <c r="I438" s="89"/>
      <c r="J438" s="89"/>
      <c r="K438" s="76"/>
      <c r="L438" s="76"/>
      <c r="M438" s="76"/>
      <c r="N438" s="76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8"/>
      <c r="AB438" s="77"/>
      <c r="AC438" s="77"/>
      <c r="AD438" s="77"/>
      <c r="AE438" s="77"/>
      <c r="AF438" s="77"/>
      <c r="AG438" s="79"/>
    </row>
    <row r="439" spans="2:33" ht="15.6" x14ac:dyDescent="0.3">
      <c r="B439" s="88"/>
      <c r="C439" s="76"/>
      <c r="D439" s="88"/>
      <c r="E439" s="88"/>
      <c r="F439" s="76"/>
      <c r="G439" s="76"/>
      <c r="H439" s="76"/>
      <c r="I439" s="89"/>
      <c r="J439" s="89"/>
      <c r="K439" s="76"/>
      <c r="L439" s="76"/>
      <c r="M439" s="76"/>
      <c r="N439" s="76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8"/>
      <c r="AB439" s="77"/>
      <c r="AC439" s="77"/>
      <c r="AD439" s="77"/>
      <c r="AE439" s="77"/>
      <c r="AF439" s="77"/>
      <c r="AG439" s="79"/>
    </row>
    <row r="440" spans="2:33" ht="15.6" x14ac:dyDescent="0.3">
      <c r="B440" s="88"/>
      <c r="C440" s="76"/>
      <c r="D440" s="88"/>
      <c r="E440" s="88"/>
      <c r="F440" s="76"/>
      <c r="G440" s="76"/>
      <c r="H440" s="76"/>
      <c r="I440" s="89"/>
      <c r="J440" s="89"/>
      <c r="K440" s="76"/>
      <c r="L440" s="76"/>
      <c r="M440" s="76"/>
      <c r="N440" s="76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8"/>
      <c r="AB440" s="77"/>
      <c r="AC440" s="77"/>
      <c r="AD440" s="77"/>
      <c r="AE440" s="77"/>
      <c r="AF440" s="77"/>
      <c r="AG440" s="79"/>
    </row>
    <row r="441" spans="2:33" ht="15.6" x14ac:dyDescent="0.3">
      <c r="B441" s="88"/>
      <c r="C441" s="76"/>
      <c r="D441" s="88"/>
      <c r="E441" s="88"/>
      <c r="F441" s="76"/>
      <c r="G441" s="76"/>
      <c r="H441" s="76"/>
      <c r="I441" s="89"/>
      <c r="J441" s="89"/>
      <c r="K441" s="76"/>
      <c r="L441" s="76"/>
      <c r="M441" s="76"/>
      <c r="N441" s="76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8"/>
      <c r="AB441" s="77"/>
      <c r="AC441" s="77"/>
      <c r="AD441" s="77"/>
      <c r="AE441" s="77"/>
      <c r="AF441" s="77"/>
      <c r="AG441" s="79"/>
    </row>
    <row r="442" spans="2:33" ht="15.6" x14ac:dyDescent="0.3">
      <c r="B442" s="88"/>
      <c r="C442" s="76"/>
      <c r="D442" s="88"/>
      <c r="E442" s="88"/>
      <c r="F442" s="76"/>
      <c r="G442" s="76"/>
      <c r="H442" s="76"/>
      <c r="I442" s="89"/>
      <c r="J442" s="89"/>
      <c r="K442" s="76"/>
      <c r="L442" s="76"/>
      <c r="M442" s="76"/>
      <c r="N442" s="76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8"/>
      <c r="AB442" s="77"/>
      <c r="AC442" s="77"/>
      <c r="AD442" s="77"/>
      <c r="AE442" s="77"/>
      <c r="AF442" s="77"/>
      <c r="AG442" s="79"/>
    </row>
    <row r="443" spans="2:33" ht="15.6" x14ac:dyDescent="0.3">
      <c r="B443" s="88"/>
      <c r="C443" s="76"/>
      <c r="D443" s="88"/>
      <c r="E443" s="88"/>
      <c r="F443" s="76"/>
      <c r="G443" s="76"/>
      <c r="H443" s="76"/>
      <c r="I443" s="89"/>
      <c r="J443" s="89"/>
      <c r="K443" s="76"/>
      <c r="L443" s="76"/>
      <c r="M443" s="76"/>
      <c r="N443" s="76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8"/>
      <c r="AB443" s="77"/>
      <c r="AC443" s="77"/>
      <c r="AD443" s="77"/>
      <c r="AE443" s="77"/>
      <c r="AF443" s="77"/>
      <c r="AG443" s="79"/>
    </row>
    <row r="444" spans="2:33" ht="15.6" x14ac:dyDescent="0.3">
      <c r="B444" s="88"/>
      <c r="C444" s="76"/>
      <c r="D444" s="88"/>
      <c r="E444" s="88"/>
      <c r="F444" s="76"/>
      <c r="G444" s="76"/>
      <c r="H444" s="76"/>
      <c r="I444" s="89"/>
      <c r="J444" s="89"/>
      <c r="K444" s="76"/>
      <c r="L444" s="76"/>
      <c r="M444" s="76"/>
      <c r="N444" s="76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8"/>
      <c r="AB444" s="77"/>
      <c r="AC444" s="77"/>
      <c r="AD444" s="77"/>
      <c r="AE444" s="77"/>
      <c r="AF444" s="77"/>
      <c r="AG444" s="79"/>
    </row>
    <row r="445" spans="2:33" ht="15.6" x14ac:dyDescent="0.3">
      <c r="B445" s="88"/>
      <c r="C445" s="76"/>
      <c r="D445" s="88"/>
      <c r="E445" s="88"/>
      <c r="F445" s="76"/>
      <c r="G445" s="76"/>
      <c r="H445" s="76"/>
      <c r="I445" s="89"/>
      <c r="J445" s="89"/>
      <c r="K445" s="76"/>
      <c r="L445" s="76"/>
      <c r="M445" s="76"/>
      <c r="N445" s="76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8"/>
      <c r="AB445" s="77"/>
      <c r="AC445" s="77"/>
      <c r="AD445" s="77"/>
      <c r="AE445" s="77"/>
      <c r="AF445" s="77"/>
      <c r="AG445" s="79"/>
    </row>
    <row r="446" spans="2:33" ht="15.6" x14ac:dyDescent="0.3">
      <c r="B446" s="88"/>
      <c r="C446" s="76"/>
      <c r="D446" s="88"/>
      <c r="E446" s="88"/>
      <c r="F446" s="76"/>
      <c r="G446" s="76"/>
      <c r="H446" s="76"/>
      <c r="I446" s="89"/>
      <c r="J446" s="89"/>
      <c r="K446" s="76"/>
      <c r="L446" s="76"/>
      <c r="M446" s="76"/>
      <c r="N446" s="76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8"/>
      <c r="AB446" s="77"/>
      <c r="AC446" s="77"/>
      <c r="AD446" s="77"/>
      <c r="AE446" s="77"/>
      <c r="AF446" s="77"/>
      <c r="AG446" s="79"/>
    </row>
    <row r="447" spans="2:33" ht="15.6" x14ac:dyDescent="0.3">
      <c r="B447" s="88"/>
      <c r="C447" s="76"/>
      <c r="D447" s="88"/>
      <c r="E447" s="88"/>
      <c r="F447" s="76"/>
      <c r="G447" s="76"/>
      <c r="H447" s="76"/>
      <c r="I447" s="89"/>
      <c r="J447" s="89"/>
      <c r="K447" s="76"/>
      <c r="L447" s="76"/>
      <c r="M447" s="76"/>
      <c r="N447" s="76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8"/>
      <c r="AB447" s="77"/>
      <c r="AC447" s="77"/>
      <c r="AD447" s="77"/>
      <c r="AE447" s="77"/>
      <c r="AF447" s="77"/>
      <c r="AG447" s="79"/>
    </row>
    <row r="448" spans="2:33" ht="15.6" x14ac:dyDescent="0.3">
      <c r="B448" s="88"/>
      <c r="C448" s="76"/>
      <c r="D448" s="88"/>
      <c r="E448" s="88"/>
      <c r="F448" s="76"/>
      <c r="G448" s="76"/>
      <c r="H448" s="76"/>
      <c r="I448" s="89"/>
      <c r="J448" s="89"/>
      <c r="K448" s="76"/>
      <c r="L448" s="76"/>
      <c r="M448" s="76"/>
      <c r="N448" s="76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8"/>
      <c r="AB448" s="77"/>
      <c r="AC448" s="77"/>
      <c r="AD448" s="77"/>
      <c r="AE448" s="77"/>
      <c r="AF448" s="77"/>
      <c r="AG448" s="79"/>
    </row>
    <row r="449" spans="2:33" ht="15.6" x14ac:dyDescent="0.3">
      <c r="B449" s="88"/>
      <c r="C449" s="76"/>
      <c r="D449" s="88"/>
      <c r="E449" s="88"/>
      <c r="F449" s="76"/>
      <c r="G449" s="76"/>
      <c r="H449" s="76"/>
      <c r="I449" s="89"/>
      <c r="J449" s="89"/>
      <c r="K449" s="76"/>
      <c r="L449" s="76"/>
      <c r="M449" s="76"/>
      <c r="N449" s="76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8"/>
      <c r="AB449" s="77"/>
      <c r="AC449" s="77"/>
      <c r="AD449" s="77"/>
      <c r="AE449" s="77"/>
      <c r="AF449" s="77"/>
      <c r="AG449" s="79"/>
    </row>
    <row r="450" spans="2:33" ht="15.6" x14ac:dyDescent="0.3">
      <c r="B450" s="88"/>
      <c r="C450" s="76"/>
      <c r="D450" s="88"/>
      <c r="E450" s="88"/>
      <c r="F450" s="76"/>
      <c r="G450" s="76"/>
      <c r="H450" s="76"/>
      <c r="I450" s="89"/>
      <c r="J450" s="89"/>
      <c r="K450" s="76"/>
      <c r="L450" s="76"/>
      <c r="M450" s="76"/>
      <c r="N450" s="76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8"/>
      <c r="AB450" s="77"/>
      <c r="AC450" s="77"/>
      <c r="AD450" s="77"/>
      <c r="AE450" s="77"/>
      <c r="AF450" s="77"/>
      <c r="AG450" s="79"/>
    </row>
    <row r="451" spans="2:33" ht="15.6" x14ac:dyDescent="0.3">
      <c r="B451" s="88"/>
      <c r="C451" s="76"/>
      <c r="D451" s="88"/>
      <c r="E451" s="88"/>
      <c r="F451" s="76"/>
      <c r="G451" s="76"/>
      <c r="H451" s="76"/>
      <c r="I451" s="89"/>
      <c r="J451" s="89"/>
      <c r="K451" s="76"/>
      <c r="L451" s="76"/>
      <c r="M451" s="76"/>
      <c r="N451" s="76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8"/>
      <c r="AB451" s="77"/>
      <c r="AC451" s="77"/>
      <c r="AD451" s="77"/>
      <c r="AE451" s="77"/>
      <c r="AF451" s="77"/>
      <c r="AG451" s="79"/>
    </row>
    <row r="452" spans="2:33" ht="15.6" x14ac:dyDescent="0.3">
      <c r="B452" s="88"/>
      <c r="C452" s="76"/>
      <c r="D452" s="88"/>
      <c r="E452" s="88"/>
      <c r="F452" s="76"/>
      <c r="G452" s="76"/>
      <c r="H452" s="76"/>
      <c r="I452" s="89"/>
      <c r="J452" s="89"/>
      <c r="K452" s="76"/>
      <c r="L452" s="76"/>
      <c r="M452" s="76"/>
      <c r="N452" s="76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8"/>
      <c r="AB452" s="77"/>
      <c r="AC452" s="77"/>
      <c r="AD452" s="77"/>
      <c r="AE452" s="77"/>
      <c r="AF452" s="77"/>
      <c r="AG452" s="79"/>
    </row>
    <row r="453" spans="2:33" ht="15.6" x14ac:dyDescent="0.3">
      <c r="B453" s="88"/>
      <c r="C453" s="76"/>
      <c r="D453" s="88"/>
      <c r="E453" s="88"/>
      <c r="F453" s="76"/>
      <c r="G453" s="76"/>
      <c r="H453" s="76"/>
      <c r="I453" s="89"/>
      <c r="J453" s="89"/>
      <c r="K453" s="76"/>
      <c r="L453" s="76"/>
      <c r="M453" s="76"/>
      <c r="N453" s="76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8"/>
      <c r="AB453" s="77"/>
      <c r="AC453" s="77"/>
      <c r="AD453" s="77"/>
      <c r="AE453" s="77"/>
      <c r="AF453" s="77"/>
      <c r="AG453" s="79"/>
    </row>
    <row r="454" spans="2:33" ht="15.6" x14ac:dyDescent="0.3">
      <c r="B454" s="88"/>
      <c r="C454" s="76"/>
      <c r="D454" s="88"/>
      <c r="E454" s="88"/>
      <c r="F454" s="76"/>
      <c r="G454" s="76"/>
      <c r="H454" s="76"/>
      <c r="I454" s="89"/>
      <c r="J454" s="89"/>
      <c r="K454" s="76"/>
      <c r="L454" s="76"/>
      <c r="M454" s="76"/>
      <c r="N454" s="76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8"/>
      <c r="AB454" s="77"/>
      <c r="AC454" s="77"/>
      <c r="AD454" s="77"/>
      <c r="AE454" s="77"/>
      <c r="AF454" s="77"/>
      <c r="AG454" s="79"/>
    </row>
    <row r="455" spans="2:33" ht="15.6" x14ac:dyDescent="0.3">
      <c r="B455" s="88"/>
      <c r="C455" s="76"/>
      <c r="D455" s="88"/>
      <c r="E455" s="88"/>
      <c r="F455" s="76"/>
      <c r="G455" s="76"/>
      <c r="H455" s="76"/>
      <c r="I455" s="89"/>
      <c r="J455" s="89"/>
      <c r="K455" s="76"/>
      <c r="L455" s="76"/>
      <c r="M455" s="76"/>
      <c r="N455" s="76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8"/>
      <c r="AB455" s="77"/>
      <c r="AC455" s="77"/>
      <c r="AD455" s="77"/>
      <c r="AE455" s="77"/>
      <c r="AF455" s="77"/>
      <c r="AG455" s="79"/>
    </row>
    <row r="456" spans="2:33" ht="15.6" x14ac:dyDescent="0.3">
      <c r="B456" s="88"/>
      <c r="C456" s="76"/>
      <c r="D456" s="88"/>
      <c r="E456" s="88"/>
      <c r="F456" s="76"/>
      <c r="G456" s="76"/>
      <c r="H456" s="76"/>
      <c r="I456" s="89"/>
      <c r="J456" s="89"/>
      <c r="K456" s="76"/>
      <c r="L456" s="76"/>
      <c r="M456" s="76"/>
      <c r="N456" s="76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8"/>
      <c r="AB456" s="77"/>
      <c r="AC456" s="77"/>
      <c r="AD456" s="77"/>
      <c r="AE456" s="77"/>
      <c r="AF456" s="77"/>
      <c r="AG456" s="79"/>
    </row>
    <row r="457" spans="2:33" ht="15.6" x14ac:dyDescent="0.3">
      <c r="B457" s="88"/>
      <c r="C457" s="76"/>
      <c r="D457" s="88"/>
      <c r="E457" s="88"/>
      <c r="F457" s="76"/>
      <c r="G457" s="76"/>
      <c r="H457" s="76"/>
      <c r="I457" s="89"/>
      <c r="J457" s="89"/>
      <c r="K457" s="76"/>
      <c r="L457" s="76"/>
      <c r="M457" s="76"/>
      <c r="N457" s="76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8"/>
      <c r="AB457" s="77"/>
      <c r="AC457" s="77"/>
      <c r="AD457" s="77"/>
      <c r="AE457" s="77"/>
      <c r="AF457" s="77"/>
      <c r="AG457" s="79"/>
    </row>
    <row r="458" spans="2:33" ht="15.6" x14ac:dyDescent="0.3">
      <c r="B458" s="88"/>
      <c r="C458" s="76"/>
      <c r="D458" s="88"/>
      <c r="E458" s="88"/>
      <c r="F458" s="76"/>
      <c r="G458" s="76"/>
      <c r="H458" s="76"/>
      <c r="I458" s="89"/>
      <c r="J458" s="89"/>
      <c r="K458" s="76"/>
      <c r="L458" s="76"/>
      <c r="M458" s="76"/>
      <c r="N458" s="76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8"/>
      <c r="AB458" s="77"/>
      <c r="AC458" s="77"/>
      <c r="AD458" s="77"/>
      <c r="AE458" s="77"/>
      <c r="AF458" s="77"/>
      <c r="AG458" s="79"/>
    </row>
    <row r="459" spans="2:33" ht="15.6" x14ac:dyDescent="0.3">
      <c r="B459" s="88"/>
      <c r="C459" s="76"/>
      <c r="D459" s="88"/>
      <c r="E459" s="88"/>
      <c r="F459" s="76"/>
      <c r="G459" s="76"/>
      <c r="H459" s="76"/>
      <c r="I459" s="89"/>
      <c r="J459" s="89"/>
      <c r="K459" s="76"/>
      <c r="L459" s="76"/>
      <c r="M459" s="76"/>
      <c r="N459" s="76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8"/>
      <c r="AB459" s="77"/>
      <c r="AC459" s="77"/>
      <c r="AD459" s="77"/>
      <c r="AE459" s="77"/>
      <c r="AF459" s="77"/>
      <c r="AG459" s="79"/>
    </row>
    <row r="460" spans="2:33" ht="15.6" x14ac:dyDescent="0.3">
      <c r="B460" s="88"/>
      <c r="C460" s="76"/>
      <c r="D460" s="88"/>
      <c r="E460" s="88"/>
      <c r="F460" s="76"/>
      <c r="G460" s="76"/>
      <c r="H460" s="76"/>
      <c r="I460" s="89"/>
      <c r="J460" s="89"/>
      <c r="K460" s="76"/>
      <c r="L460" s="76"/>
      <c r="M460" s="76"/>
      <c r="N460" s="76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8"/>
      <c r="AB460" s="77"/>
      <c r="AC460" s="77"/>
      <c r="AD460" s="77"/>
      <c r="AE460" s="77"/>
      <c r="AF460" s="77"/>
      <c r="AG460" s="79"/>
    </row>
    <row r="461" spans="2:33" ht="15.6" x14ac:dyDescent="0.3">
      <c r="B461" s="88"/>
      <c r="C461" s="76"/>
      <c r="D461" s="88"/>
      <c r="E461" s="88"/>
      <c r="F461" s="76"/>
      <c r="G461" s="76"/>
      <c r="H461" s="76"/>
      <c r="I461" s="89"/>
      <c r="J461" s="89"/>
      <c r="K461" s="76"/>
      <c r="L461" s="76"/>
      <c r="M461" s="76"/>
      <c r="N461" s="76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8"/>
      <c r="AB461" s="77"/>
      <c r="AC461" s="77"/>
      <c r="AD461" s="77"/>
      <c r="AE461" s="77"/>
      <c r="AF461" s="77"/>
      <c r="AG461" s="79"/>
    </row>
    <row r="462" spans="2:33" ht="15.6" x14ac:dyDescent="0.3">
      <c r="B462" s="88"/>
      <c r="C462" s="76"/>
      <c r="D462" s="88"/>
      <c r="E462" s="88"/>
      <c r="F462" s="76"/>
      <c r="G462" s="76"/>
      <c r="H462" s="76"/>
      <c r="I462" s="89"/>
      <c r="J462" s="89"/>
      <c r="K462" s="76"/>
      <c r="L462" s="76"/>
      <c r="M462" s="76"/>
      <c r="N462" s="76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8"/>
      <c r="AB462" s="77"/>
      <c r="AC462" s="77"/>
      <c r="AD462" s="77"/>
      <c r="AE462" s="77"/>
      <c r="AF462" s="77"/>
      <c r="AG462" s="79"/>
    </row>
    <row r="463" spans="2:33" ht="15.6" x14ac:dyDescent="0.3">
      <c r="B463" s="88"/>
      <c r="C463" s="76"/>
      <c r="D463" s="88"/>
      <c r="E463" s="88"/>
      <c r="F463" s="76"/>
      <c r="G463" s="76"/>
      <c r="H463" s="76"/>
      <c r="I463" s="89"/>
      <c r="J463" s="89"/>
      <c r="K463" s="76"/>
      <c r="L463" s="76"/>
      <c r="M463" s="76"/>
      <c r="N463" s="76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8"/>
      <c r="AB463" s="77"/>
      <c r="AC463" s="77"/>
      <c r="AD463" s="77"/>
      <c r="AE463" s="77"/>
      <c r="AF463" s="77"/>
      <c r="AG463" s="79"/>
    </row>
    <row r="464" spans="2:33" ht="15.6" x14ac:dyDescent="0.3">
      <c r="B464" s="88"/>
      <c r="C464" s="76"/>
      <c r="D464" s="88"/>
      <c r="E464" s="88"/>
      <c r="F464" s="76"/>
      <c r="G464" s="76"/>
      <c r="H464" s="76"/>
      <c r="I464" s="89"/>
      <c r="J464" s="89"/>
      <c r="K464" s="76"/>
      <c r="L464" s="76"/>
      <c r="M464" s="76"/>
      <c r="N464" s="76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8"/>
      <c r="AB464" s="77"/>
      <c r="AC464" s="77"/>
      <c r="AD464" s="77"/>
      <c r="AE464" s="77"/>
      <c r="AF464" s="77"/>
      <c r="AG464" s="79"/>
    </row>
    <row r="465" spans="2:33" ht="15.6" x14ac:dyDescent="0.3">
      <c r="B465" s="88"/>
      <c r="C465" s="76"/>
      <c r="D465" s="88"/>
      <c r="E465" s="88"/>
      <c r="F465" s="76"/>
      <c r="G465" s="76"/>
      <c r="H465" s="76"/>
      <c r="I465" s="89"/>
      <c r="J465" s="89"/>
      <c r="K465" s="76"/>
      <c r="L465" s="76"/>
      <c r="M465" s="76"/>
      <c r="N465" s="76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8"/>
      <c r="AB465" s="77"/>
      <c r="AC465" s="77"/>
      <c r="AD465" s="77"/>
      <c r="AE465" s="77"/>
      <c r="AF465" s="77"/>
      <c r="AG465" s="79"/>
    </row>
    <row r="466" spans="2:33" ht="15.6" x14ac:dyDescent="0.3">
      <c r="B466" s="88"/>
      <c r="C466" s="76"/>
      <c r="D466" s="88"/>
      <c r="E466" s="88"/>
      <c r="F466" s="76"/>
      <c r="G466" s="76"/>
      <c r="H466" s="76"/>
      <c r="I466" s="89"/>
      <c r="J466" s="89"/>
      <c r="K466" s="76"/>
      <c r="L466" s="76"/>
      <c r="M466" s="76"/>
      <c r="N466" s="76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8"/>
      <c r="AB466" s="77"/>
      <c r="AC466" s="77"/>
      <c r="AD466" s="77"/>
      <c r="AE466" s="77"/>
      <c r="AF466" s="77"/>
      <c r="AG466" s="79"/>
    </row>
    <row r="467" spans="2:33" ht="15.6" x14ac:dyDescent="0.3">
      <c r="B467" s="88"/>
      <c r="C467" s="76"/>
      <c r="D467" s="88"/>
      <c r="E467" s="88"/>
      <c r="F467" s="76"/>
      <c r="G467" s="76"/>
      <c r="H467" s="76"/>
      <c r="I467" s="89"/>
      <c r="J467" s="89"/>
      <c r="K467" s="76"/>
      <c r="L467" s="76"/>
      <c r="M467" s="76"/>
      <c r="N467" s="76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8"/>
      <c r="AB467" s="77"/>
      <c r="AC467" s="77"/>
      <c r="AD467" s="77"/>
      <c r="AE467" s="77"/>
      <c r="AF467" s="77"/>
      <c r="AG467" s="79"/>
    </row>
    <row r="468" spans="2:33" ht="15.6" x14ac:dyDescent="0.3">
      <c r="B468" s="88"/>
      <c r="C468" s="76"/>
      <c r="D468" s="88"/>
      <c r="E468" s="88"/>
      <c r="F468" s="76"/>
      <c r="G468" s="76"/>
      <c r="H468" s="76"/>
      <c r="I468" s="89"/>
      <c r="J468" s="89"/>
      <c r="K468" s="76"/>
      <c r="L468" s="76"/>
      <c r="M468" s="76"/>
      <c r="N468" s="76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8"/>
      <c r="AB468" s="77"/>
      <c r="AC468" s="77"/>
      <c r="AD468" s="77"/>
      <c r="AE468" s="77"/>
      <c r="AF468" s="77"/>
      <c r="AG468" s="79"/>
    </row>
    <row r="469" spans="2:33" ht="15.6" x14ac:dyDescent="0.3">
      <c r="B469" s="88"/>
      <c r="C469" s="76"/>
      <c r="D469" s="88"/>
      <c r="E469" s="88"/>
      <c r="F469" s="76"/>
      <c r="G469" s="76"/>
      <c r="H469" s="76"/>
      <c r="I469" s="89"/>
      <c r="J469" s="89"/>
      <c r="K469" s="76"/>
      <c r="L469" s="76"/>
      <c r="M469" s="76"/>
      <c r="N469" s="76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8"/>
      <c r="AB469" s="77"/>
      <c r="AC469" s="77"/>
      <c r="AD469" s="77"/>
      <c r="AE469" s="77"/>
      <c r="AF469" s="77"/>
      <c r="AG469" s="79"/>
    </row>
    <row r="470" spans="2:33" ht="15.6" x14ac:dyDescent="0.3">
      <c r="B470" s="88"/>
      <c r="C470" s="76"/>
      <c r="D470" s="88"/>
      <c r="E470" s="88"/>
      <c r="F470" s="76"/>
      <c r="G470" s="76"/>
      <c r="H470" s="76"/>
      <c r="I470" s="89"/>
      <c r="J470" s="89"/>
      <c r="K470" s="76"/>
      <c r="L470" s="76"/>
      <c r="M470" s="76"/>
      <c r="N470" s="76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8"/>
      <c r="AB470" s="77"/>
      <c r="AC470" s="77"/>
      <c r="AD470" s="77"/>
      <c r="AE470" s="77"/>
      <c r="AF470" s="77"/>
      <c r="AG470" s="79"/>
    </row>
    <row r="471" spans="2:33" ht="15.6" x14ac:dyDescent="0.3">
      <c r="B471" s="88"/>
      <c r="C471" s="76"/>
      <c r="D471" s="88"/>
      <c r="E471" s="88"/>
      <c r="F471" s="76"/>
      <c r="G471" s="76"/>
      <c r="H471" s="76"/>
      <c r="I471" s="89"/>
      <c r="J471" s="89"/>
      <c r="K471" s="76"/>
      <c r="L471" s="76"/>
      <c r="M471" s="76"/>
      <c r="N471" s="76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8"/>
      <c r="AB471" s="77"/>
      <c r="AC471" s="77"/>
      <c r="AD471" s="77"/>
      <c r="AE471" s="77"/>
      <c r="AF471" s="77"/>
      <c r="AG471" s="79"/>
    </row>
    <row r="472" spans="2:33" ht="15.6" x14ac:dyDescent="0.3">
      <c r="B472" s="88"/>
      <c r="C472" s="76"/>
      <c r="D472" s="88"/>
      <c r="E472" s="88"/>
      <c r="F472" s="76"/>
      <c r="G472" s="76"/>
      <c r="H472" s="76"/>
      <c r="I472" s="89"/>
      <c r="J472" s="89"/>
      <c r="K472" s="76"/>
      <c r="L472" s="76"/>
      <c r="M472" s="76"/>
      <c r="N472" s="76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8"/>
      <c r="AB472" s="77"/>
      <c r="AC472" s="77"/>
      <c r="AD472" s="77"/>
      <c r="AE472" s="77"/>
      <c r="AF472" s="77"/>
      <c r="AG472" s="79"/>
    </row>
    <row r="473" spans="2:33" ht="15.6" x14ac:dyDescent="0.3">
      <c r="B473" s="88"/>
      <c r="C473" s="76"/>
      <c r="D473" s="88"/>
      <c r="E473" s="88"/>
      <c r="F473" s="76"/>
      <c r="G473" s="76"/>
      <c r="H473" s="76"/>
      <c r="I473" s="89"/>
      <c r="J473" s="89"/>
      <c r="K473" s="76"/>
      <c r="L473" s="76"/>
      <c r="M473" s="76"/>
      <c r="N473" s="76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8"/>
      <c r="AB473" s="77"/>
      <c r="AC473" s="77"/>
      <c r="AD473" s="77"/>
      <c r="AE473" s="77"/>
      <c r="AF473" s="77"/>
      <c r="AG473" s="79"/>
    </row>
    <row r="474" spans="2:33" ht="15.6" x14ac:dyDescent="0.3">
      <c r="B474" s="88"/>
      <c r="C474" s="76"/>
      <c r="D474" s="88"/>
      <c r="E474" s="88"/>
      <c r="F474" s="76"/>
      <c r="G474" s="76"/>
      <c r="H474" s="76"/>
      <c r="I474" s="89"/>
      <c r="J474" s="89"/>
      <c r="K474" s="76"/>
      <c r="L474" s="76"/>
      <c r="M474" s="76"/>
      <c r="N474" s="76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8"/>
      <c r="AB474" s="77"/>
      <c r="AC474" s="77"/>
      <c r="AD474" s="77"/>
      <c r="AE474" s="77"/>
      <c r="AF474" s="77"/>
      <c r="AG474" s="79"/>
    </row>
    <row r="475" spans="2:33" ht="15.6" x14ac:dyDescent="0.3">
      <c r="B475" s="88"/>
      <c r="C475" s="76"/>
      <c r="D475" s="88"/>
      <c r="E475" s="88"/>
      <c r="F475" s="76"/>
      <c r="G475" s="76"/>
      <c r="H475" s="76"/>
      <c r="I475" s="89"/>
      <c r="J475" s="89"/>
      <c r="K475" s="76"/>
      <c r="L475" s="76"/>
      <c r="M475" s="76"/>
      <c r="N475" s="76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8"/>
      <c r="AB475" s="77"/>
      <c r="AC475" s="77"/>
      <c r="AD475" s="77"/>
      <c r="AE475" s="77"/>
      <c r="AF475" s="77"/>
      <c r="AG475" s="79"/>
    </row>
    <row r="476" spans="2:33" ht="15.6" x14ac:dyDescent="0.3">
      <c r="B476" s="88"/>
      <c r="C476" s="76"/>
      <c r="D476" s="88"/>
      <c r="E476" s="88"/>
      <c r="F476" s="76"/>
      <c r="G476" s="76"/>
      <c r="H476" s="76"/>
      <c r="I476" s="89"/>
      <c r="J476" s="89"/>
      <c r="K476" s="76"/>
      <c r="L476" s="76"/>
      <c r="M476" s="76"/>
      <c r="N476" s="76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8"/>
      <c r="AB476" s="77"/>
      <c r="AC476" s="77"/>
      <c r="AD476" s="77"/>
      <c r="AE476" s="77"/>
      <c r="AF476" s="77"/>
      <c r="AG476" s="79"/>
    </row>
    <row r="477" spans="2:33" ht="15.6" x14ac:dyDescent="0.3">
      <c r="B477" s="88"/>
      <c r="C477" s="76"/>
      <c r="D477" s="88"/>
      <c r="E477" s="88"/>
      <c r="F477" s="76"/>
      <c r="G477" s="76"/>
      <c r="H477" s="76"/>
      <c r="I477" s="89"/>
      <c r="J477" s="89"/>
      <c r="K477" s="76"/>
      <c r="L477" s="76"/>
      <c r="M477" s="76"/>
      <c r="N477" s="76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8"/>
      <c r="AB477" s="77"/>
      <c r="AC477" s="77"/>
      <c r="AD477" s="77"/>
      <c r="AE477" s="77"/>
      <c r="AF477" s="77"/>
      <c r="AG477" s="79"/>
    </row>
    <row r="478" spans="2:33" ht="15.6" x14ac:dyDescent="0.3">
      <c r="B478" s="88"/>
      <c r="C478" s="76"/>
      <c r="D478" s="88"/>
      <c r="E478" s="88"/>
      <c r="F478" s="76"/>
      <c r="G478" s="76"/>
      <c r="H478" s="76"/>
      <c r="I478" s="89"/>
      <c r="J478" s="89"/>
      <c r="K478" s="76"/>
      <c r="L478" s="76"/>
      <c r="M478" s="76"/>
      <c r="N478" s="76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8"/>
      <c r="AB478" s="77"/>
      <c r="AC478" s="77"/>
      <c r="AD478" s="77"/>
      <c r="AE478" s="77"/>
      <c r="AF478" s="77"/>
      <c r="AG478" s="79"/>
    </row>
    <row r="479" spans="2:33" ht="15.6" x14ac:dyDescent="0.3">
      <c r="B479" s="88"/>
      <c r="C479" s="76"/>
      <c r="D479" s="88"/>
      <c r="E479" s="88"/>
      <c r="F479" s="76"/>
      <c r="G479" s="76"/>
      <c r="H479" s="76"/>
      <c r="I479" s="89"/>
      <c r="J479" s="89"/>
      <c r="K479" s="76"/>
      <c r="L479" s="76"/>
      <c r="M479" s="76"/>
      <c r="N479" s="76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8"/>
      <c r="AB479" s="77"/>
      <c r="AC479" s="77"/>
      <c r="AD479" s="77"/>
      <c r="AE479" s="77"/>
      <c r="AF479" s="77"/>
      <c r="AG479" s="79"/>
    </row>
    <row r="480" spans="2:33" ht="15.6" x14ac:dyDescent="0.3">
      <c r="B480" s="88"/>
      <c r="C480" s="76"/>
      <c r="D480" s="88"/>
      <c r="E480" s="88"/>
      <c r="F480" s="76"/>
      <c r="G480" s="76"/>
      <c r="H480" s="76"/>
      <c r="I480" s="89"/>
      <c r="J480" s="89"/>
      <c r="K480" s="76"/>
      <c r="L480" s="76"/>
      <c r="M480" s="76"/>
      <c r="N480" s="76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8"/>
      <c r="AB480" s="77"/>
      <c r="AC480" s="77"/>
      <c r="AD480" s="77"/>
      <c r="AE480" s="77"/>
      <c r="AF480" s="77"/>
      <c r="AG480" s="79"/>
    </row>
    <row r="481" spans="2:33" ht="15.6" x14ac:dyDescent="0.3">
      <c r="B481" s="88"/>
      <c r="C481" s="76"/>
      <c r="D481" s="88"/>
      <c r="E481" s="88"/>
      <c r="F481" s="76"/>
      <c r="G481" s="76"/>
      <c r="H481" s="76"/>
      <c r="I481" s="89"/>
      <c r="J481" s="89"/>
      <c r="K481" s="76"/>
      <c r="L481" s="76"/>
      <c r="M481" s="76"/>
      <c r="N481" s="76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8"/>
      <c r="AB481" s="77"/>
      <c r="AC481" s="77"/>
      <c r="AD481" s="77"/>
      <c r="AE481" s="77"/>
      <c r="AF481" s="77"/>
      <c r="AG481" s="79"/>
    </row>
    <row r="482" spans="2:33" ht="15.6" x14ac:dyDescent="0.3">
      <c r="B482" s="88"/>
      <c r="C482" s="76"/>
      <c r="D482" s="88"/>
      <c r="E482" s="88"/>
      <c r="F482" s="76"/>
      <c r="G482" s="76"/>
      <c r="H482" s="76"/>
      <c r="I482" s="89"/>
      <c r="J482" s="89"/>
      <c r="K482" s="76"/>
      <c r="L482" s="76"/>
      <c r="M482" s="76"/>
      <c r="N482" s="76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8"/>
      <c r="AB482" s="77"/>
      <c r="AC482" s="77"/>
      <c r="AD482" s="77"/>
      <c r="AE482" s="77"/>
      <c r="AF482" s="77"/>
      <c r="AG482" s="79"/>
    </row>
    <row r="483" spans="2:33" ht="15.6" x14ac:dyDescent="0.3">
      <c r="B483" s="88"/>
      <c r="C483" s="76"/>
      <c r="D483" s="88"/>
      <c r="E483" s="88"/>
      <c r="F483" s="76"/>
      <c r="G483" s="76"/>
      <c r="H483" s="76"/>
      <c r="I483" s="89"/>
      <c r="J483" s="89"/>
      <c r="K483" s="76"/>
      <c r="L483" s="76"/>
      <c r="M483" s="76"/>
      <c r="N483" s="76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8"/>
      <c r="AB483" s="77"/>
      <c r="AC483" s="77"/>
      <c r="AD483" s="77"/>
      <c r="AE483" s="77"/>
      <c r="AF483" s="77"/>
      <c r="AG483" s="79"/>
    </row>
    <row r="484" spans="2:33" ht="15.6" x14ac:dyDescent="0.3">
      <c r="B484" s="88"/>
      <c r="C484" s="76"/>
      <c r="D484" s="88"/>
      <c r="E484" s="88"/>
      <c r="F484" s="76"/>
      <c r="G484" s="76"/>
      <c r="H484" s="76"/>
      <c r="I484" s="89"/>
      <c r="J484" s="89"/>
      <c r="K484" s="76"/>
      <c r="L484" s="76"/>
      <c r="M484" s="76"/>
      <c r="N484" s="76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8"/>
      <c r="AB484" s="77"/>
      <c r="AC484" s="77"/>
      <c r="AD484" s="77"/>
      <c r="AE484" s="77"/>
      <c r="AF484" s="77"/>
      <c r="AG484" s="79"/>
    </row>
    <row r="485" spans="2:33" ht="15.6" x14ac:dyDescent="0.3">
      <c r="B485" s="88"/>
      <c r="C485" s="76"/>
      <c r="D485" s="88"/>
      <c r="E485" s="88"/>
      <c r="F485" s="76"/>
      <c r="G485" s="76"/>
      <c r="H485" s="76"/>
      <c r="I485" s="89"/>
      <c r="J485" s="89"/>
      <c r="K485" s="76"/>
      <c r="L485" s="76"/>
      <c r="M485" s="76"/>
      <c r="N485" s="76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8"/>
      <c r="AB485" s="77"/>
      <c r="AC485" s="77"/>
      <c r="AD485" s="77"/>
      <c r="AE485" s="77"/>
      <c r="AF485" s="77"/>
      <c r="AG485" s="79"/>
    </row>
    <row r="486" spans="2:33" ht="15.6" x14ac:dyDescent="0.3">
      <c r="B486" s="88"/>
      <c r="C486" s="76"/>
      <c r="D486" s="88"/>
      <c r="E486" s="88"/>
      <c r="F486" s="76"/>
      <c r="G486" s="76"/>
      <c r="H486" s="76"/>
      <c r="I486" s="89"/>
      <c r="J486" s="89"/>
      <c r="K486" s="76"/>
      <c r="L486" s="76"/>
      <c r="M486" s="76"/>
      <c r="N486" s="76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8"/>
      <c r="AB486" s="77"/>
      <c r="AC486" s="77"/>
      <c r="AD486" s="77"/>
      <c r="AE486" s="77"/>
      <c r="AF486" s="77"/>
      <c r="AG486" s="79"/>
    </row>
    <row r="487" spans="2:33" ht="15.6" x14ac:dyDescent="0.3">
      <c r="B487" s="88"/>
      <c r="C487" s="76"/>
      <c r="D487" s="88"/>
      <c r="E487" s="88"/>
      <c r="F487" s="76"/>
      <c r="G487" s="76"/>
      <c r="H487" s="76"/>
      <c r="I487" s="89"/>
      <c r="J487" s="89"/>
      <c r="K487" s="76"/>
      <c r="L487" s="76"/>
      <c r="M487" s="76"/>
      <c r="N487" s="76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8"/>
      <c r="AB487" s="77"/>
      <c r="AC487" s="77"/>
      <c r="AD487" s="77"/>
      <c r="AE487" s="77"/>
      <c r="AF487" s="77"/>
      <c r="AG487" s="79"/>
    </row>
    <row r="488" spans="2:33" ht="15.6" x14ac:dyDescent="0.3">
      <c r="B488" s="88"/>
      <c r="C488" s="76"/>
      <c r="D488" s="88"/>
      <c r="E488" s="88"/>
      <c r="F488" s="76"/>
      <c r="G488" s="76"/>
      <c r="H488" s="76"/>
      <c r="I488" s="89"/>
      <c r="J488" s="89"/>
      <c r="K488" s="76"/>
      <c r="L488" s="76"/>
      <c r="M488" s="76"/>
      <c r="N488" s="76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8"/>
      <c r="AB488" s="77"/>
      <c r="AC488" s="77"/>
      <c r="AD488" s="77"/>
      <c r="AE488" s="77"/>
      <c r="AF488" s="77"/>
      <c r="AG488" s="79"/>
    </row>
    <row r="489" spans="2:33" ht="15.6" x14ac:dyDescent="0.3">
      <c r="B489" s="88"/>
      <c r="C489" s="76"/>
      <c r="D489" s="88"/>
      <c r="E489" s="88"/>
      <c r="F489" s="76"/>
      <c r="G489" s="76"/>
      <c r="H489" s="76"/>
      <c r="I489" s="89"/>
      <c r="J489" s="89"/>
      <c r="K489" s="76"/>
      <c r="L489" s="76"/>
      <c r="M489" s="76"/>
      <c r="N489" s="76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8"/>
      <c r="AB489" s="77"/>
      <c r="AC489" s="77"/>
      <c r="AD489" s="77"/>
      <c r="AE489" s="77"/>
      <c r="AF489" s="77"/>
      <c r="AG489" s="79"/>
    </row>
    <row r="490" spans="2:33" ht="15.6" x14ac:dyDescent="0.3">
      <c r="B490" s="88"/>
      <c r="C490" s="76"/>
      <c r="D490" s="88"/>
      <c r="E490" s="88"/>
      <c r="F490" s="76"/>
      <c r="G490" s="76"/>
      <c r="H490" s="76"/>
      <c r="I490" s="89"/>
      <c r="J490" s="89"/>
      <c r="K490" s="76"/>
      <c r="L490" s="76"/>
      <c r="M490" s="76"/>
      <c r="N490" s="76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8"/>
      <c r="AB490" s="77"/>
      <c r="AC490" s="77"/>
      <c r="AD490" s="77"/>
      <c r="AE490" s="77"/>
      <c r="AF490" s="77"/>
      <c r="AG490" s="79"/>
    </row>
    <row r="491" spans="2:33" ht="15.6" x14ac:dyDescent="0.3">
      <c r="B491" s="88"/>
      <c r="C491" s="76"/>
      <c r="D491" s="88"/>
      <c r="E491" s="88"/>
      <c r="F491" s="76"/>
      <c r="G491" s="76"/>
      <c r="H491" s="76"/>
      <c r="I491" s="89"/>
      <c r="J491" s="89"/>
      <c r="K491" s="76"/>
      <c r="L491" s="76"/>
      <c r="M491" s="76"/>
      <c r="N491" s="76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8"/>
      <c r="AB491" s="77"/>
      <c r="AC491" s="77"/>
      <c r="AD491" s="77"/>
      <c r="AE491" s="77"/>
      <c r="AF491" s="77"/>
      <c r="AG491" s="79"/>
    </row>
    <row r="492" spans="2:33" ht="15.6" x14ac:dyDescent="0.3">
      <c r="B492" s="88"/>
      <c r="C492" s="76"/>
      <c r="D492" s="88"/>
      <c r="E492" s="88"/>
      <c r="F492" s="76"/>
      <c r="G492" s="76"/>
      <c r="H492" s="76"/>
      <c r="I492" s="89"/>
      <c r="J492" s="89"/>
      <c r="K492" s="76"/>
      <c r="L492" s="76"/>
      <c r="M492" s="76"/>
      <c r="N492" s="76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8"/>
      <c r="AB492" s="77"/>
      <c r="AC492" s="77"/>
      <c r="AD492" s="77"/>
      <c r="AE492" s="77"/>
      <c r="AF492" s="77"/>
      <c r="AG492" s="79"/>
    </row>
    <row r="493" spans="2:33" ht="15.6" x14ac:dyDescent="0.3">
      <c r="B493" s="88"/>
      <c r="C493" s="76"/>
      <c r="D493" s="88"/>
      <c r="E493" s="88"/>
      <c r="F493" s="76"/>
      <c r="G493" s="76"/>
      <c r="H493" s="76"/>
      <c r="I493" s="89"/>
      <c r="J493" s="89"/>
      <c r="K493" s="76"/>
      <c r="L493" s="76"/>
      <c r="M493" s="76"/>
      <c r="N493" s="76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8"/>
      <c r="AB493" s="77"/>
      <c r="AC493" s="77"/>
      <c r="AD493" s="77"/>
      <c r="AE493" s="77"/>
      <c r="AF493" s="77"/>
      <c r="AG493" s="79"/>
    </row>
    <row r="494" spans="2:33" ht="15.6" x14ac:dyDescent="0.3">
      <c r="B494" s="88"/>
      <c r="C494" s="76"/>
      <c r="D494" s="88"/>
      <c r="E494" s="88"/>
      <c r="F494" s="76"/>
      <c r="G494" s="76"/>
      <c r="H494" s="76"/>
      <c r="I494" s="89"/>
      <c r="J494" s="89"/>
      <c r="K494" s="76"/>
      <c r="L494" s="76"/>
      <c r="M494" s="76"/>
      <c r="N494" s="76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8"/>
      <c r="AB494" s="77"/>
      <c r="AC494" s="77"/>
      <c r="AD494" s="77"/>
      <c r="AE494" s="77"/>
      <c r="AF494" s="77"/>
      <c r="AG494" s="79"/>
    </row>
    <row r="495" spans="2:33" ht="15.6" x14ac:dyDescent="0.3">
      <c r="B495" s="88"/>
      <c r="C495" s="76"/>
      <c r="D495" s="88"/>
      <c r="E495" s="88"/>
      <c r="F495" s="76"/>
      <c r="G495" s="76"/>
      <c r="H495" s="76"/>
      <c r="I495" s="89"/>
      <c r="J495" s="89"/>
      <c r="K495" s="76"/>
      <c r="L495" s="76"/>
      <c r="M495" s="76"/>
      <c r="N495" s="76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8"/>
      <c r="AB495" s="77"/>
      <c r="AC495" s="77"/>
      <c r="AD495" s="77"/>
      <c r="AE495" s="77"/>
      <c r="AF495" s="77"/>
      <c r="AG495" s="79"/>
    </row>
    <row r="496" spans="2:33" ht="15.6" x14ac:dyDescent="0.3">
      <c r="B496" s="88"/>
      <c r="C496" s="76"/>
      <c r="D496" s="88"/>
      <c r="E496" s="88"/>
      <c r="F496" s="76"/>
      <c r="G496" s="76"/>
      <c r="H496" s="76"/>
      <c r="I496" s="89"/>
      <c r="J496" s="89"/>
      <c r="K496" s="76"/>
      <c r="L496" s="76"/>
      <c r="M496" s="76"/>
      <c r="N496" s="76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8"/>
      <c r="AB496" s="77"/>
      <c r="AC496" s="77"/>
      <c r="AD496" s="77"/>
      <c r="AE496" s="77"/>
      <c r="AF496" s="77"/>
      <c r="AG496" s="79"/>
    </row>
    <row r="497" spans="2:33" ht="15.6" x14ac:dyDescent="0.3">
      <c r="B497" s="88"/>
      <c r="C497" s="76"/>
      <c r="D497" s="88"/>
      <c r="E497" s="88"/>
      <c r="F497" s="76"/>
      <c r="G497" s="76"/>
      <c r="H497" s="76"/>
      <c r="I497" s="89"/>
      <c r="J497" s="89"/>
      <c r="K497" s="76"/>
      <c r="L497" s="76"/>
      <c r="M497" s="76"/>
      <c r="N497" s="76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8"/>
      <c r="AB497" s="77"/>
      <c r="AC497" s="77"/>
      <c r="AD497" s="77"/>
      <c r="AE497" s="77"/>
      <c r="AF497" s="77"/>
      <c r="AG497" s="79"/>
    </row>
    <row r="498" spans="2:33" ht="15.6" x14ac:dyDescent="0.3">
      <c r="B498" s="88"/>
      <c r="C498" s="76"/>
      <c r="D498" s="88"/>
      <c r="E498" s="88"/>
      <c r="F498" s="76"/>
      <c r="G498" s="76"/>
      <c r="H498" s="76"/>
      <c r="I498" s="89"/>
      <c r="J498" s="89"/>
      <c r="K498" s="76"/>
      <c r="L498" s="76"/>
      <c r="M498" s="76"/>
      <c r="N498" s="76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8"/>
      <c r="AB498" s="77"/>
      <c r="AC498" s="77"/>
      <c r="AD498" s="77"/>
      <c r="AE498" s="77"/>
      <c r="AF498" s="77"/>
      <c r="AG498" s="79"/>
    </row>
    <row r="499" spans="2:33" ht="15.6" x14ac:dyDescent="0.3">
      <c r="B499" s="88"/>
      <c r="C499" s="76"/>
      <c r="D499" s="88"/>
      <c r="E499" s="88"/>
      <c r="F499" s="76"/>
      <c r="G499" s="76"/>
      <c r="H499" s="76"/>
      <c r="I499" s="89"/>
      <c r="J499" s="89"/>
      <c r="K499" s="76"/>
      <c r="L499" s="76"/>
      <c r="M499" s="76"/>
      <c r="N499" s="76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8"/>
      <c r="AB499" s="77"/>
      <c r="AC499" s="77"/>
      <c r="AD499" s="77"/>
      <c r="AE499" s="77"/>
      <c r="AF499" s="77"/>
      <c r="AG499" s="79"/>
    </row>
    <row r="500" spans="2:33" ht="15.6" x14ac:dyDescent="0.3">
      <c r="B500" s="88"/>
      <c r="C500" s="76"/>
      <c r="D500" s="88"/>
      <c r="E500" s="88"/>
      <c r="F500" s="76"/>
      <c r="G500" s="76"/>
      <c r="H500" s="76"/>
      <c r="I500" s="89"/>
      <c r="J500" s="89"/>
      <c r="K500" s="76"/>
      <c r="L500" s="76"/>
      <c r="M500" s="76"/>
      <c r="N500" s="76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8"/>
      <c r="AB500" s="77"/>
      <c r="AC500" s="77"/>
      <c r="AD500" s="77"/>
      <c r="AE500" s="77"/>
      <c r="AF500" s="77"/>
      <c r="AG500" s="79"/>
    </row>
    <row r="501" spans="2:33" ht="15.6" x14ac:dyDescent="0.3">
      <c r="B501" s="88"/>
      <c r="C501" s="76"/>
      <c r="D501" s="88"/>
      <c r="E501" s="88"/>
      <c r="F501" s="76"/>
      <c r="G501" s="76"/>
      <c r="H501" s="76"/>
      <c r="I501" s="89"/>
      <c r="J501" s="89"/>
      <c r="K501" s="76"/>
      <c r="L501" s="76"/>
      <c r="M501" s="76"/>
      <c r="N501" s="76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8"/>
      <c r="AB501" s="77"/>
      <c r="AC501" s="77"/>
      <c r="AD501" s="77"/>
      <c r="AE501" s="77"/>
      <c r="AF501" s="77"/>
      <c r="AG501" s="79"/>
    </row>
    <row r="502" spans="2:33" ht="15.6" x14ac:dyDescent="0.3">
      <c r="B502" s="88"/>
      <c r="C502" s="76"/>
      <c r="D502" s="88"/>
      <c r="E502" s="88"/>
      <c r="F502" s="76"/>
      <c r="G502" s="76"/>
      <c r="H502" s="76"/>
      <c r="I502" s="89"/>
      <c r="J502" s="89"/>
      <c r="K502" s="76"/>
      <c r="L502" s="76"/>
      <c r="M502" s="76"/>
      <c r="N502" s="76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8"/>
      <c r="AB502" s="77"/>
      <c r="AC502" s="77"/>
      <c r="AD502" s="77"/>
      <c r="AE502" s="77"/>
      <c r="AF502" s="77"/>
      <c r="AG502" s="79"/>
    </row>
    <row r="503" spans="2:33" ht="15.6" x14ac:dyDescent="0.3">
      <c r="B503" s="88"/>
      <c r="C503" s="76"/>
      <c r="D503" s="88"/>
      <c r="E503" s="88"/>
      <c r="F503" s="76"/>
      <c r="G503" s="76"/>
      <c r="H503" s="76"/>
      <c r="I503" s="89"/>
      <c r="J503" s="89"/>
      <c r="K503" s="76"/>
      <c r="L503" s="76"/>
      <c r="M503" s="76"/>
      <c r="N503" s="76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8"/>
      <c r="AB503" s="77"/>
      <c r="AC503" s="77"/>
      <c r="AD503" s="77"/>
      <c r="AE503" s="77"/>
      <c r="AF503" s="77"/>
      <c r="AG503" s="79"/>
    </row>
    <row r="504" spans="2:33" ht="15.6" x14ac:dyDescent="0.3">
      <c r="B504" s="88"/>
      <c r="C504" s="76"/>
      <c r="D504" s="88"/>
      <c r="E504" s="88"/>
      <c r="F504" s="76"/>
      <c r="G504" s="76"/>
      <c r="H504" s="76"/>
      <c r="I504" s="89"/>
      <c r="J504" s="89"/>
      <c r="K504" s="76"/>
      <c r="L504" s="76"/>
      <c r="M504" s="76"/>
      <c r="N504" s="76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8"/>
      <c r="AB504" s="77"/>
      <c r="AC504" s="77"/>
      <c r="AD504" s="77"/>
      <c r="AE504" s="77"/>
      <c r="AF504" s="77"/>
      <c r="AG504" s="79"/>
    </row>
    <row r="505" spans="2:33" ht="15.6" x14ac:dyDescent="0.3">
      <c r="B505" s="88"/>
      <c r="C505" s="76"/>
      <c r="D505" s="88"/>
      <c r="E505" s="88"/>
      <c r="F505" s="76"/>
      <c r="G505" s="76"/>
      <c r="H505" s="76"/>
      <c r="I505" s="89"/>
      <c r="J505" s="89"/>
      <c r="K505" s="76"/>
      <c r="L505" s="76"/>
      <c r="M505" s="76"/>
      <c r="N505" s="76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8"/>
      <c r="AB505" s="77"/>
      <c r="AC505" s="77"/>
      <c r="AD505" s="77"/>
      <c r="AE505" s="77"/>
      <c r="AF505" s="77"/>
      <c r="AG505" s="79"/>
    </row>
    <row r="506" spans="2:33" ht="15.6" x14ac:dyDescent="0.3">
      <c r="B506" s="88"/>
      <c r="C506" s="76"/>
      <c r="D506" s="88"/>
      <c r="E506" s="88"/>
      <c r="F506" s="76"/>
      <c r="G506" s="76"/>
      <c r="H506" s="76"/>
      <c r="I506" s="89"/>
      <c r="J506" s="89"/>
      <c r="K506" s="76"/>
      <c r="L506" s="76"/>
      <c r="M506" s="76"/>
      <c r="N506" s="76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8"/>
      <c r="AB506" s="77"/>
      <c r="AC506" s="77"/>
      <c r="AD506" s="77"/>
      <c r="AE506" s="77"/>
      <c r="AF506" s="77"/>
      <c r="AG506" s="79"/>
    </row>
    <row r="507" spans="2:33" ht="15.6" x14ac:dyDescent="0.3">
      <c r="B507" s="88"/>
      <c r="C507" s="76"/>
      <c r="D507" s="88"/>
      <c r="E507" s="88"/>
      <c r="F507" s="76"/>
      <c r="G507" s="76"/>
      <c r="H507" s="76"/>
      <c r="I507" s="89"/>
      <c r="J507" s="89"/>
      <c r="K507" s="76"/>
      <c r="L507" s="76"/>
      <c r="M507" s="76"/>
      <c r="N507" s="76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8"/>
      <c r="AB507" s="77"/>
      <c r="AC507" s="77"/>
      <c r="AD507" s="77"/>
      <c r="AE507" s="77"/>
      <c r="AF507" s="77"/>
      <c r="AG507" s="79"/>
    </row>
    <row r="508" spans="2:33" ht="15.6" x14ac:dyDescent="0.3">
      <c r="B508" s="88"/>
      <c r="C508" s="76"/>
      <c r="D508" s="88"/>
      <c r="E508" s="88"/>
      <c r="F508" s="76"/>
      <c r="G508" s="76"/>
      <c r="H508" s="76"/>
      <c r="I508" s="89"/>
      <c r="J508" s="89"/>
      <c r="K508" s="76"/>
      <c r="L508" s="76"/>
      <c r="M508" s="76"/>
      <c r="N508" s="76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8"/>
      <c r="AB508" s="77"/>
      <c r="AC508" s="77"/>
      <c r="AD508" s="77"/>
      <c r="AE508" s="77"/>
      <c r="AF508" s="77"/>
      <c r="AG508" s="79"/>
    </row>
    <row r="509" spans="2:33" ht="15.6" x14ac:dyDescent="0.3">
      <c r="B509" s="88"/>
      <c r="C509" s="76"/>
      <c r="D509" s="88"/>
      <c r="E509" s="88"/>
      <c r="F509" s="76"/>
      <c r="G509" s="76"/>
      <c r="H509" s="76"/>
      <c r="I509" s="89"/>
      <c r="J509" s="89"/>
      <c r="K509" s="76"/>
      <c r="L509" s="76"/>
      <c r="M509" s="76"/>
      <c r="N509" s="76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8"/>
      <c r="AB509" s="77"/>
      <c r="AC509" s="77"/>
      <c r="AD509" s="77"/>
      <c r="AE509" s="77"/>
      <c r="AF509" s="77"/>
      <c r="AG509" s="79"/>
    </row>
    <row r="510" spans="2:33" ht="15.6" x14ac:dyDescent="0.3">
      <c r="B510" s="88"/>
      <c r="C510" s="76"/>
      <c r="D510" s="88"/>
      <c r="E510" s="88"/>
      <c r="F510" s="76"/>
      <c r="G510" s="76"/>
      <c r="H510" s="76"/>
      <c r="I510" s="89"/>
      <c r="J510" s="89"/>
      <c r="K510" s="76"/>
      <c r="L510" s="76"/>
      <c r="M510" s="76"/>
      <c r="N510" s="76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8"/>
      <c r="AB510" s="77"/>
      <c r="AC510" s="77"/>
      <c r="AD510" s="77"/>
      <c r="AE510" s="77"/>
      <c r="AF510" s="77"/>
      <c r="AG510" s="79"/>
    </row>
    <row r="511" spans="2:33" ht="15.6" x14ac:dyDescent="0.3">
      <c r="B511" s="88"/>
      <c r="C511" s="76"/>
      <c r="D511" s="88"/>
      <c r="E511" s="88"/>
      <c r="F511" s="76"/>
      <c r="G511" s="76"/>
      <c r="H511" s="76"/>
      <c r="I511" s="89"/>
      <c r="J511" s="89"/>
      <c r="K511" s="76"/>
      <c r="L511" s="76"/>
      <c r="M511" s="76"/>
      <c r="N511" s="76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8"/>
      <c r="AB511" s="77"/>
      <c r="AC511" s="77"/>
      <c r="AD511" s="77"/>
      <c r="AE511" s="77"/>
      <c r="AF511" s="77"/>
      <c r="AG511" s="79"/>
    </row>
    <row r="512" spans="2:33" ht="15.6" x14ac:dyDescent="0.3">
      <c r="B512" s="88"/>
      <c r="C512" s="76"/>
      <c r="D512" s="88"/>
      <c r="E512" s="88"/>
      <c r="F512" s="76"/>
      <c r="G512" s="76"/>
      <c r="H512" s="76"/>
      <c r="I512" s="89"/>
      <c r="J512" s="89"/>
      <c r="K512" s="76"/>
      <c r="L512" s="76"/>
      <c r="M512" s="76"/>
      <c r="N512" s="76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8"/>
      <c r="AB512" s="77"/>
      <c r="AC512" s="77"/>
      <c r="AD512" s="77"/>
      <c r="AE512" s="77"/>
      <c r="AF512" s="77"/>
      <c r="AG512" s="79"/>
    </row>
    <row r="513" spans="2:33" ht="15.6" x14ac:dyDescent="0.3">
      <c r="B513" s="88"/>
      <c r="C513" s="76"/>
      <c r="D513" s="88"/>
      <c r="E513" s="88"/>
      <c r="F513" s="76"/>
      <c r="G513" s="76"/>
      <c r="H513" s="76"/>
      <c r="I513" s="89"/>
      <c r="J513" s="89"/>
      <c r="K513" s="76"/>
      <c r="L513" s="76"/>
      <c r="M513" s="76"/>
      <c r="N513" s="76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8"/>
      <c r="AB513" s="77"/>
      <c r="AC513" s="77"/>
      <c r="AD513" s="77"/>
      <c r="AE513" s="77"/>
      <c r="AF513" s="77"/>
      <c r="AG513" s="79"/>
    </row>
    <row r="514" spans="2:33" ht="15.6" x14ac:dyDescent="0.3">
      <c r="B514" s="88"/>
      <c r="C514" s="76"/>
      <c r="D514" s="88"/>
      <c r="E514" s="88"/>
      <c r="F514" s="76"/>
      <c r="G514" s="76"/>
      <c r="H514" s="76"/>
      <c r="I514" s="89"/>
      <c r="J514" s="89"/>
      <c r="K514" s="76"/>
      <c r="L514" s="76"/>
      <c r="M514" s="76"/>
      <c r="N514" s="76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8"/>
      <c r="AB514" s="77"/>
      <c r="AC514" s="77"/>
      <c r="AD514" s="77"/>
      <c r="AE514" s="77"/>
      <c r="AF514" s="77"/>
      <c r="AG514" s="79"/>
    </row>
    <row r="515" spans="2:33" ht="15.6" x14ac:dyDescent="0.3">
      <c r="B515" s="88"/>
      <c r="C515" s="76"/>
      <c r="D515" s="88"/>
      <c r="E515" s="88"/>
      <c r="F515" s="76"/>
      <c r="G515" s="76"/>
      <c r="H515" s="76"/>
      <c r="I515" s="89"/>
      <c r="J515" s="89"/>
      <c r="K515" s="76"/>
      <c r="L515" s="76"/>
      <c r="M515" s="76"/>
      <c r="N515" s="76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8"/>
      <c r="AB515" s="77"/>
      <c r="AC515" s="77"/>
      <c r="AD515" s="77"/>
      <c r="AE515" s="77"/>
      <c r="AF515" s="77"/>
      <c r="AG515" s="79"/>
    </row>
    <row r="516" spans="2:33" ht="15.6" x14ac:dyDescent="0.3">
      <c r="B516" s="88"/>
      <c r="C516" s="76"/>
      <c r="D516" s="88"/>
      <c r="E516" s="88"/>
      <c r="F516" s="76"/>
      <c r="G516" s="76"/>
      <c r="H516" s="76"/>
      <c r="I516" s="89"/>
      <c r="J516" s="89"/>
      <c r="K516" s="76"/>
      <c r="L516" s="76"/>
      <c r="M516" s="76"/>
      <c r="N516" s="76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8"/>
      <c r="AB516" s="77"/>
      <c r="AC516" s="77"/>
      <c r="AD516" s="77"/>
      <c r="AE516" s="77"/>
      <c r="AF516" s="77"/>
      <c r="AG516" s="79"/>
    </row>
    <row r="517" spans="2:33" ht="15.6" x14ac:dyDescent="0.3">
      <c r="B517" s="88"/>
      <c r="C517" s="76"/>
      <c r="D517" s="88"/>
      <c r="E517" s="88"/>
      <c r="F517" s="76"/>
      <c r="G517" s="76"/>
      <c r="H517" s="76"/>
      <c r="I517" s="89"/>
      <c r="J517" s="89"/>
      <c r="K517" s="76"/>
      <c r="L517" s="76"/>
      <c r="M517" s="76"/>
      <c r="N517" s="76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8"/>
      <c r="AB517" s="77"/>
      <c r="AC517" s="77"/>
      <c r="AD517" s="77"/>
      <c r="AE517" s="77"/>
      <c r="AF517" s="77"/>
      <c r="AG517" s="79"/>
    </row>
    <row r="518" spans="2:33" ht="15.6" x14ac:dyDescent="0.3">
      <c r="B518" s="88"/>
      <c r="C518" s="76"/>
      <c r="D518" s="88"/>
      <c r="E518" s="88"/>
      <c r="F518" s="76"/>
      <c r="G518" s="76"/>
      <c r="H518" s="76"/>
      <c r="I518" s="89"/>
      <c r="J518" s="89"/>
      <c r="K518" s="76"/>
      <c r="L518" s="76"/>
      <c r="M518" s="76"/>
      <c r="N518" s="76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8"/>
      <c r="AB518" s="77"/>
      <c r="AC518" s="77"/>
      <c r="AD518" s="77"/>
      <c r="AE518" s="77"/>
      <c r="AF518" s="77"/>
      <c r="AG518" s="79"/>
    </row>
    <row r="519" spans="2:33" ht="15.6" x14ac:dyDescent="0.3">
      <c r="B519" s="88"/>
      <c r="C519" s="76"/>
      <c r="D519" s="88"/>
      <c r="E519" s="88"/>
      <c r="F519" s="76"/>
      <c r="G519" s="76"/>
      <c r="H519" s="76"/>
      <c r="I519" s="89"/>
      <c r="J519" s="89"/>
      <c r="K519" s="76"/>
      <c r="L519" s="76"/>
      <c r="M519" s="76"/>
      <c r="N519" s="76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8"/>
      <c r="AB519" s="77"/>
      <c r="AC519" s="77"/>
      <c r="AD519" s="77"/>
      <c r="AE519" s="77"/>
      <c r="AF519" s="77"/>
      <c r="AG519" s="79"/>
    </row>
    <row r="520" spans="2:33" ht="15.6" x14ac:dyDescent="0.3">
      <c r="B520" s="88"/>
      <c r="C520" s="76"/>
      <c r="D520" s="88"/>
      <c r="E520" s="88"/>
      <c r="F520" s="76"/>
      <c r="G520" s="76"/>
      <c r="H520" s="76"/>
      <c r="I520" s="89"/>
      <c r="J520" s="89"/>
      <c r="K520" s="76"/>
      <c r="L520" s="76"/>
      <c r="M520" s="76"/>
      <c r="N520" s="76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8"/>
      <c r="AB520" s="77"/>
      <c r="AC520" s="77"/>
      <c r="AD520" s="77"/>
      <c r="AE520" s="77"/>
      <c r="AF520" s="77"/>
      <c r="AG520" s="79"/>
    </row>
    <row r="521" spans="2:33" ht="15.6" x14ac:dyDescent="0.3">
      <c r="B521" s="88"/>
      <c r="C521" s="76"/>
      <c r="D521" s="88"/>
      <c r="E521" s="88"/>
      <c r="F521" s="76"/>
      <c r="G521" s="76"/>
      <c r="H521" s="76"/>
      <c r="I521" s="89"/>
      <c r="J521" s="89"/>
      <c r="K521" s="76"/>
      <c r="L521" s="76"/>
      <c r="M521" s="76"/>
      <c r="N521" s="76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8"/>
      <c r="AB521" s="77"/>
      <c r="AC521" s="77"/>
      <c r="AD521" s="77"/>
      <c r="AE521" s="77"/>
      <c r="AF521" s="77"/>
      <c r="AG521" s="79"/>
    </row>
    <row r="522" spans="2:33" ht="15.6" x14ac:dyDescent="0.3">
      <c r="B522" s="88"/>
      <c r="C522" s="76"/>
      <c r="D522" s="88"/>
      <c r="E522" s="88"/>
      <c r="F522" s="76"/>
      <c r="G522" s="76"/>
      <c r="H522" s="76"/>
      <c r="I522" s="89"/>
      <c r="J522" s="89"/>
      <c r="K522" s="76"/>
      <c r="L522" s="76"/>
      <c r="M522" s="76"/>
      <c r="N522" s="76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8"/>
      <c r="AB522" s="77"/>
      <c r="AC522" s="77"/>
      <c r="AD522" s="77"/>
      <c r="AE522" s="77"/>
      <c r="AF522" s="77"/>
      <c r="AG522" s="79"/>
    </row>
    <row r="523" spans="2:33" ht="15.6" x14ac:dyDescent="0.3">
      <c r="B523" s="88"/>
      <c r="C523" s="76"/>
      <c r="D523" s="88"/>
      <c r="E523" s="88"/>
      <c r="F523" s="76"/>
      <c r="G523" s="76"/>
      <c r="H523" s="76"/>
      <c r="I523" s="89"/>
      <c r="J523" s="89"/>
      <c r="K523" s="76"/>
      <c r="L523" s="76"/>
      <c r="M523" s="76"/>
      <c r="N523" s="76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8"/>
      <c r="AB523" s="77"/>
      <c r="AC523" s="77"/>
      <c r="AD523" s="77"/>
      <c r="AE523" s="77"/>
      <c r="AF523" s="77"/>
      <c r="AG523" s="79"/>
    </row>
    <row r="524" spans="2:33" ht="15.6" x14ac:dyDescent="0.3">
      <c r="B524" s="88"/>
      <c r="C524" s="76"/>
      <c r="D524" s="88"/>
      <c r="E524" s="88"/>
      <c r="F524" s="76"/>
      <c r="G524" s="76"/>
      <c r="H524" s="76"/>
      <c r="I524" s="89"/>
      <c r="J524" s="89"/>
      <c r="K524" s="76"/>
      <c r="L524" s="76"/>
      <c r="M524" s="76"/>
      <c r="N524" s="76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8"/>
      <c r="AB524" s="77"/>
      <c r="AC524" s="77"/>
      <c r="AD524" s="77"/>
      <c r="AE524" s="77"/>
      <c r="AF524" s="77"/>
      <c r="AG524" s="79"/>
    </row>
    <row r="525" spans="2:33" ht="15.6" x14ac:dyDescent="0.3">
      <c r="B525" s="88"/>
      <c r="C525" s="76"/>
      <c r="D525" s="88"/>
      <c r="E525" s="88"/>
      <c r="F525" s="76"/>
      <c r="G525" s="76"/>
      <c r="H525" s="76"/>
      <c r="I525" s="89"/>
      <c r="J525" s="89"/>
      <c r="K525" s="76"/>
      <c r="L525" s="76"/>
      <c r="M525" s="76"/>
      <c r="N525" s="76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8"/>
      <c r="AB525" s="77"/>
      <c r="AC525" s="77"/>
      <c r="AD525" s="77"/>
      <c r="AE525" s="77"/>
      <c r="AF525" s="77"/>
      <c r="AG525" s="79"/>
    </row>
    <row r="526" spans="2:33" ht="15.6" x14ac:dyDescent="0.3">
      <c r="B526" s="88"/>
      <c r="C526" s="76"/>
      <c r="D526" s="88"/>
      <c r="E526" s="88"/>
      <c r="F526" s="76"/>
      <c r="G526" s="76"/>
      <c r="H526" s="76"/>
      <c r="I526" s="89"/>
      <c r="J526" s="89"/>
      <c r="K526" s="76"/>
      <c r="L526" s="76"/>
      <c r="M526" s="76"/>
      <c r="N526" s="76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8"/>
      <c r="AB526" s="77"/>
      <c r="AC526" s="77"/>
      <c r="AD526" s="77"/>
      <c r="AE526" s="77"/>
      <c r="AF526" s="77"/>
      <c r="AG526" s="79"/>
    </row>
    <row r="527" spans="2:33" ht="15.6" x14ac:dyDescent="0.3">
      <c r="B527" s="88"/>
      <c r="C527" s="76"/>
      <c r="D527" s="88"/>
      <c r="E527" s="88"/>
      <c r="F527" s="76"/>
      <c r="G527" s="76"/>
      <c r="H527" s="76"/>
      <c r="I527" s="89"/>
      <c r="J527" s="89"/>
      <c r="K527" s="76"/>
      <c r="L527" s="76"/>
      <c r="M527" s="76"/>
      <c r="N527" s="76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8"/>
      <c r="AB527" s="77"/>
      <c r="AC527" s="77"/>
      <c r="AD527" s="77"/>
      <c r="AE527" s="77"/>
      <c r="AF527" s="77"/>
      <c r="AG527" s="79"/>
    </row>
    <row r="528" spans="2:33" ht="15.6" x14ac:dyDescent="0.3">
      <c r="B528" s="88"/>
      <c r="C528" s="76"/>
      <c r="D528" s="88"/>
      <c r="E528" s="88"/>
      <c r="F528" s="76"/>
      <c r="G528" s="76"/>
      <c r="H528" s="76"/>
      <c r="I528" s="89"/>
      <c r="J528" s="89"/>
      <c r="K528" s="76"/>
      <c r="L528" s="76"/>
      <c r="M528" s="76"/>
      <c r="N528" s="76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8"/>
      <c r="AB528" s="77"/>
      <c r="AC528" s="77"/>
      <c r="AD528" s="77"/>
      <c r="AE528" s="77"/>
      <c r="AF528" s="77"/>
      <c r="AG528" s="79"/>
    </row>
    <row r="529" spans="2:33" ht="15.6" x14ac:dyDescent="0.3">
      <c r="B529" s="88"/>
      <c r="C529" s="76"/>
      <c r="D529" s="88"/>
      <c r="E529" s="88"/>
      <c r="F529" s="76"/>
      <c r="G529" s="76"/>
      <c r="H529" s="76"/>
      <c r="I529" s="89"/>
      <c r="J529" s="89"/>
      <c r="K529" s="76"/>
      <c r="L529" s="76"/>
      <c r="M529" s="76"/>
      <c r="N529" s="76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8"/>
      <c r="AB529" s="77"/>
      <c r="AC529" s="77"/>
      <c r="AD529" s="77"/>
      <c r="AE529" s="77"/>
      <c r="AF529" s="77"/>
      <c r="AG529" s="79"/>
    </row>
    <row r="530" spans="2:33" ht="15.6" x14ac:dyDescent="0.3">
      <c r="B530" s="88"/>
      <c r="C530" s="76"/>
      <c r="D530" s="88"/>
      <c r="E530" s="88"/>
      <c r="F530" s="76"/>
      <c r="G530" s="76"/>
      <c r="H530" s="76"/>
      <c r="I530" s="89"/>
      <c r="J530" s="89"/>
      <c r="K530" s="76"/>
      <c r="L530" s="76"/>
      <c r="M530" s="76"/>
      <c r="N530" s="76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8"/>
      <c r="AB530" s="77"/>
      <c r="AC530" s="77"/>
      <c r="AD530" s="77"/>
      <c r="AE530" s="77"/>
      <c r="AF530" s="77"/>
      <c r="AG530" s="79"/>
    </row>
    <row r="531" spans="2:33" ht="15.6" x14ac:dyDescent="0.3">
      <c r="B531" s="88"/>
      <c r="C531" s="76"/>
      <c r="D531" s="88"/>
      <c r="E531" s="88"/>
      <c r="F531" s="76"/>
      <c r="G531" s="76"/>
      <c r="H531" s="76"/>
      <c r="I531" s="89"/>
      <c r="J531" s="89"/>
      <c r="K531" s="76"/>
      <c r="L531" s="76"/>
      <c r="M531" s="76"/>
      <c r="N531" s="76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8"/>
      <c r="AB531" s="77"/>
      <c r="AC531" s="77"/>
      <c r="AD531" s="77"/>
      <c r="AE531" s="77"/>
      <c r="AF531" s="77"/>
      <c r="AG531" s="79"/>
    </row>
    <row r="532" spans="2:33" ht="15.6" x14ac:dyDescent="0.3">
      <c r="B532" s="88"/>
      <c r="C532" s="76"/>
      <c r="D532" s="88"/>
      <c r="E532" s="88"/>
      <c r="F532" s="76"/>
      <c r="G532" s="76"/>
      <c r="H532" s="76"/>
      <c r="I532" s="89"/>
      <c r="J532" s="89"/>
      <c r="K532" s="76"/>
      <c r="L532" s="76"/>
      <c r="M532" s="76"/>
      <c r="N532" s="76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8"/>
      <c r="AB532" s="77"/>
      <c r="AC532" s="77"/>
      <c r="AD532" s="77"/>
      <c r="AE532" s="77"/>
      <c r="AF532" s="77"/>
      <c r="AG532" s="79"/>
    </row>
    <row r="533" spans="2:33" ht="15.6" x14ac:dyDescent="0.3">
      <c r="B533" s="88"/>
      <c r="C533" s="76"/>
      <c r="D533" s="88"/>
      <c r="E533" s="88"/>
      <c r="F533" s="76"/>
      <c r="G533" s="76"/>
      <c r="H533" s="76"/>
      <c r="I533" s="89"/>
      <c r="J533" s="89"/>
      <c r="K533" s="76"/>
      <c r="L533" s="76"/>
      <c r="M533" s="76"/>
      <c r="N533" s="76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8"/>
      <c r="AB533" s="77"/>
      <c r="AC533" s="77"/>
      <c r="AD533" s="77"/>
      <c r="AE533" s="77"/>
      <c r="AF533" s="77"/>
      <c r="AG533" s="79"/>
    </row>
    <row r="534" spans="2:33" ht="15.6" x14ac:dyDescent="0.3">
      <c r="B534" s="88"/>
      <c r="C534" s="76"/>
      <c r="D534" s="88"/>
      <c r="E534" s="88"/>
      <c r="F534" s="76"/>
      <c r="G534" s="76"/>
      <c r="H534" s="76"/>
      <c r="I534" s="89"/>
      <c r="J534" s="89"/>
      <c r="K534" s="76"/>
      <c r="L534" s="76"/>
      <c r="M534" s="76"/>
      <c r="N534" s="76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8"/>
      <c r="AB534" s="77"/>
      <c r="AC534" s="77"/>
      <c r="AD534" s="77"/>
      <c r="AE534" s="77"/>
      <c r="AF534" s="77"/>
      <c r="AG534" s="79"/>
    </row>
    <row r="535" spans="2:33" ht="15.6" x14ac:dyDescent="0.3">
      <c r="B535" s="88"/>
      <c r="C535" s="76"/>
      <c r="D535" s="88"/>
      <c r="E535" s="88"/>
      <c r="F535" s="76"/>
      <c r="G535" s="76"/>
      <c r="H535" s="76"/>
      <c r="I535" s="89"/>
      <c r="J535" s="89"/>
      <c r="K535" s="76"/>
      <c r="L535" s="76"/>
      <c r="M535" s="76"/>
      <c r="N535" s="76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8"/>
      <c r="AB535" s="77"/>
      <c r="AC535" s="77"/>
      <c r="AD535" s="77"/>
      <c r="AE535" s="77"/>
      <c r="AF535" s="77"/>
      <c r="AG535" s="79"/>
    </row>
    <row r="536" spans="2:33" ht="15.6" x14ac:dyDescent="0.3">
      <c r="B536" s="88"/>
      <c r="C536" s="76"/>
      <c r="D536" s="88"/>
      <c r="E536" s="88"/>
      <c r="F536" s="76"/>
      <c r="G536" s="76"/>
      <c r="H536" s="76"/>
      <c r="I536" s="89"/>
      <c r="J536" s="89"/>
      <c r="K536" s="76"/>
      <c r="L536" s="76"/>
      <c r="M536" s="76"/>
      <c r="N536" s="76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8"/>
      <c r="AB536" s="77"/>
      <c r="AC536" s="77"/>
      <c r="AD536" s="77"/>
      <c r="AE536" s="77"/>
      <c r="AF536" s="77"/>
      <c r="AG536" s="79"/>
    </row>
    <row r="537" spans="2:33" ht="15.6" x14ac:dyDescent="0.3">
      <c r="B537" s="88"/>
      <c r="C537" s="76"/>
      <c r="D537" s="88"/>
      <c r="E537" s="88"/>
      <c r="F537" s="76"/>
      <c r="G537" s="76"/>
      <c r="H537" s="76"/>
      <c r="I537" s="89"/>
      <c r="J537" s="89"/>
      <c r="K537" s="76"/>
      <c r="L537" s="76"/>
      <c r="M537" s="76"/>
      <c r="N537" s="76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8"/>
      <c r="AB537" s="77"/>
      <c r="AC537" s="77"/>
      <c r="AD537" s="77"/>
      <c r="AE537" s="77"/>
      <c r="AF537" s="77"/>
      <c r="AG537" s="79"/>
    </row>
    <row r="538" spans="2:33" ht="15.6" x14ac:dyDescent="0.3">
      <c r="B538" s="88"/>
      <c r="C538" s="76"/>
      <c r="D538" s="88"/>
      <c r="E538" s="88"/>
      <c r="F538" s="76"/>
      <c r="G538" s="76"/>
      <c r="H538" s="76"/>
      <c r="I538" s="89"/>
      <c r="J538" s="89"/>
      <c r="K538" s="76"/>
      <c r="L538" s="76"/>
      <c r="M538" s="76"/>
      <c r="N538" s="76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8"/>
      <c r="AB538" s="77"/>
      <c r="AC538" s="77"/>
      <c r="AD538" s="77"/>
      <c r="AE538" s="77"/>
      <c r="AF538" s="77"/>
      <c r="AG538" s="79"/>
    </row>
    <row r="539" spans="2:33" ht="15.6" x14ac:dyDescent="0.3">
      <c r="B539" s="88"/>
      <c r="C539" s="76"/>
      <c r="D539" s="88"/>
      <c r="E539" s="88"/>
      <c r="F539" s="76"/>
      <c r="G539" s="76"/>
      <c r="H539" s="76"/>
      <c r="I539" s="89"/>
      <c r="J539" s="89"/>
      <c r="K539" s="76"/>
      <c r="L539" s="76"/>
      <c r="M539" s="76"/>
      <c r="N539" s="76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8"/>
      <c r="AB539" s="77"/>
      <c r="AC539" s="77"/>
      <c r="AD539" s="77"/>
      <c r="AE539" s="77"/>
      <c r="AF539" s="77"/>
      <c r="AG539" s="79"/>
    </row>
    <row r="540" spans="2:33" ht="15.6" x14ac:dyDescent="0.3">
      <c r="B540" s="88"/>
      <c r="C540" s="76"/>
      <c r="D540" s="88"/>
      <c r="E540" s="88"/>
      <c r="F540" s="76"/>
      <c r="G540" s="76"/>
      <c r="H540" s="76"/>
      <c r="I540" s="89"/>
      <c r="J540" s="89"/>
      <c r="K540" s="76"/>
      <c r="L540" s="76"/>
      <c r="M540" s="76"/>
      <c r="N540" s="76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8"/>
      <c r="AB540" s="77"/>
      <c r="AC540" s="77"/>
      <c r="AD540" s="77"/>
      <c r="AE540" s="77"/>
      <c r="AF540" s="77"/>
      <c r="AG540" s="79"/>
    </row>
    <row r="541" spans="2:33" ht="15.6" x14ac:dyDescent="0.3">
      <c r="B541" s="88"/>
      <c r="C541" s="76"/>
      <c r="D541" s="88"/>
      <c r="E541" s="88"/>
      <c r="F541" s="76"/>
      <c r="G541" s="76"/>
      <c r="H541" s="76"/>
      <c r="I541" s="89"/>
      <c r="J541" s="89"/>
      <c r="K541" s="76"/>
      <c r="L541" s="76"/>
      <c r="M541" s="76"/>
      <c r="N541" s="76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8"/>
      <c r="AB541" s="77"/>
      <c r="AC541" s="77"/>
      <c r="AD541" s="77"/>
      <c r="AE541" s="77"/>
      <c r="AF541" s="77"/>
      <c r="AG541" s="79"/>
    </row>
    <row r="542" spans="2:33" ht="15.6" x14ac:dyDescent="0.3">
      <c r="B542" s="88"/>
      <c r="C542" s="76"/>
      <c r="D542" s="88"/>
      <c r="E542" s="88"/>
      <c r="F542" s="76"/>
      <c r="G542" s="76"/>
      <c r="H542" s="76"/>
      <c r="I542" s="89"/>
      <c r="J542" s="89"/>
      <c r="K542" s="76"/>
      <c r="L542" s="76"/>
      <c r="M542" s="76"/>
      <c r="N542" s="76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8"/>
      <c r="AB542" s="77"/>
      <c r="AC542" s="77"/>
      <c r="AD542" s="77"/>
      <c r="AE542" s="77"/>
      <c r="AF542" s="77"/>
      <c r="AG542" s="79"/>
    </row>
    <row r="543" spans="2:33" ht="15.6" x14ac:dyDescent="0.3">
      <c r="B543" s="88"/>
      <c r="C543" s="76"/>
      <c r="D543" s="88"/>
      <c r="E543" s="88"/>
      <c r="F543" s="76"/>
      <c r="G543" s="76"/>
      <c r="H543" s="76"/>
      <c r="I543" s="89"/>
      <c r="J543" s="89"/>
      <c r="K543" s="76"/>
      <c r="L543" s="76"/>
      <c r="M543" s="76"/>
      <c r="N543" s="76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8"/>
      <c r="AB543" s="77"/>
      <c r="AC543" s="77"/>
      <c r="AD543" s="77"/>
      <c r="AE543" s="77"/>
      <c r="AF543" s="77"/>
      <c r="AG543" s="79"/>
    </row>
    <row r="544" spans="2:33" ht="15.6" x14ac:dyDescent="0.3">
      <c r="B544" s="88"/>
      <c r="C544" s="76"/>
      <c r="D544" s="88"/>
      <c r="E544" s="88"/>
      <c r="F544" s="76"/>
      <c r="G544" s="76"/>
      <c r="H544" s="76"/>
      <c r="I544" s="89"/>
      <c r="J544" s="89"/>
      <c r="K544" s="76"/>
      <c r="L544" s="76"/>
      <c r="M544" s="76"/>
      <c r="N544" s="76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8"/>
      <c r="AB544" s="77"/>
      <c r="AC544" s="77"/>
      <c r="AD544" s="77"/>
      <c r="AE544" s="77"/>
      <c r="AF544" s="77"/>
      <c r="AG544" s="79"/>
    </row>
    <row r="545" spans="2:33" ht="15.6" x14ac:dyDescent="0.3">
      <c r="B545" s="88"/>
      <c r="C545" s="76"/>
      <c r="D545" s="88"/>
      <c r="E545" s="88"/>
      <c r="F545" s="76"/>
      <c r="G545" s="76"/>
      <c r="H545" s="76"/>
      <c r="I545" s="89"/>
      <c r="J545" s="89"/>
      <c r="K545" s="76"/>
      <c r="L545" s="76"/>
      <c r="M545" s="76"/>
      <c r="N545" s="76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8"/>
      <c r="AB545" s="77"/>
      <c r="AC545" s="77"/>
      <c r="AD545" s="77"/>
      <c r="AE545" s="77"/>
      <c r="AF545" s="77"/>
      <c r="AG545" s="79"/>
    </row>
    <row r="546" spans="2:33" ht="15.6" x14ac:dyDescent="0.3">
      <c r="B546" s="88"/>
      <c r="C546" s="76"/>
      <c r="D546" s="88"/>
      <c r="E546" s="88"/>
      <c r="F546" s="76"/>
      <c r="G546" s="76"/>
      <c r="H546" s="76"/>
      <c r="I546" s="89"/>
      <c r="J546" s="89"/>
      <c r="K546" s="76"/>
      <c r="L546" s="76"/>
      <c r="M546" s="76"/>
      <c r="N546" s="76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8"/>
      <c r="AB546" s="77"/>
      <c r="AC546" s="77"/>
      <c r="AD546" s="77"/>
      <c r="AE546" s="77"/>
      <c r="AF546" s="77"/>
      <c r="AG546" s="79"/>
    </row>
    <row r="547" spans="2:33" ht="15.6" x14ac:dyDescent="0.3">
      <c r="B547" s="88"/>
      <c r="C547" s="76"/>
      <c r="D547" s="88"/>
      <c r="E547" s="88"/>
      <c r="F547" s="76"/>
      <c r="G547" s="76"/>
      <c r="H547" s="76"/>
      <c r="I547" s="89"/>
      <c r="J547" s="89"/>
      <c r="K547" s="76"/>
      <c r="L547" s="76"/>
      <c r="M547" s="76"/>
      <c r="N547" s="76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8"/>
      <c r="AB547" s="77"/>
      <c r="AC547" s="77"/>
      <c r="AD547" s="77"/>
      <c r="AE547" s="77"/>
      <c r="AF547" s="77"/>
      <c r="AG547" s="79"/>
    </row>
    <row r="548" spans="2:33" ht="15.6" x14ac:dyDescent="0.3">
      <c r="B548" s="88"/>
      <c r="C548" s="76"/>
      <c r="D548" s="88"/>
      <c r="E548" s="88"/>
      <c r="F548" s="76"/>
      <c r="G548" s="76"/>
      <c r="H548" s="76"/>
      <c r="I548" s="89"/>
      <c r="J548" s="89"/>
      <c r="K548" s="76"/>
      <c r="L548" s="76"/>
      <c r="M548" s="76"/>
      <c r="N548" s="76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8"/>
      <c r="AB548" s="77"/>
      <c r="AC548" s="77"/>
      <c r="AD548" s="77"/>
      <c r="AE548" s="77"/>
      <c r="AF548" s="77"/>
      <c r="AG548" s="79"/>
    </row>
    <row r="549" spans="2:33" ht="15.6" x14ac:dyDescent="0.3">
      <c r="B549" s="88"/>
      <c r="C549" s="76"/>
      <c r="D549" s="88"/>
      <c r="E549" s="88"/>
      <c r="F549" s="76"/>
      <c r="G549" s="76"/>
      <c r="H549" s="76"/>
      <c r="I549" s="89"/>
      <c r="J549" s="89"/>
      <c r="K549" s="76"/>
      <c r="L549" s="76"/>
      <c r="M549" s="76"/>
      <c r="N549" s="76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8"/>
      <c r="AB549" s="77"/>
      <c r="AC549" s="77"/>
      <c r="AD549" s="77"/>
      <c r="AE549" s="77"/>
      <c r="AF549" s="77"/>
      <c r="AG549" s="79"/>
    </row>
    <row r="550" spans="2:33" ht="15.6" x14ac:dyDescent="0.3">
      <c r="B550" s="88"/>
      <c r="C550" s="76"/>
      <c r="D550" s="88"/>
      <c r="E550" s="88"/>
      <c r="F550" s="76"/>
      <c r="G550" s="76"/>
      <c r="H550" s="76"/>
      <c r="I550" s="89"/>
      <c r="J550" s="89"/>
      <c r="K550" s="76"/>
      <c r="L550" s="76"/>
      <c r="M550" s="76"/>
      <c r="N550" s="76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8"/>
      <c r="AB550" s="77"/>
      <c r="AC550" s="77"/>
      <c r="AD550" s="77"/>
      <c r="AE550" s="77"/>
      <c r="AF550" s="77"/>
      <c r="AG550" s="79"/>
    </row>
    <row r="551" spans="2:33" ht="15.6" x14ac:dyDescent="0.3">
      <c r="B551" s="88"/>
      <c r="C551" s="76"/>
      <c r="D551" s="88"/>
      <c r="E551" s="88"/>
      <c r="F551" s="76"/>
      <c r="G551" s="76"/>
      <c r="H551" s="76"/>
      <c r="I551" s="89"/>
      <c r="J551" s="89"/>
      <c r="K551" s="76"/>
      <c r="L551" s="76"/>
      <c r="M551" s="76"/>
      <c r="N551" s="76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8"/>
      <c r="AB551" s="77"/>
      <c r="AC551" s="77"/>
      <c r="AD551" s="77"/>
      <c r="AE551" s="77"/>
      <c r="AF551" s="77"/>
      <c r="AG551" s="79"/>
    </row>
    <row r="552" spans="2:33" ht="15.6" x14ac:dyDescent="0.3">
      <c r="B552" s="88"/>
      <c r="C552" s="76"/>
      <c r="D552" s="88"/>
      <c r="E552" s="88"/>
      <c r="F552" s="76"/>
      <c r="G552" s="76"/>
      <c r="H552" s="76"/>
      <c r="I552" s="89"/>
      <c r="J552" s="89"/>
      <c r="K552" s="76"/>
      <c r="L552" s="76"/>
      <c r="M552" s="76"/>
      <c r="N552" s="76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8"/>
      <c r="AB552" s="77"/>
      <c r="AC552" s="77"/>
      <c r="AD552" s="77"/>
      <c r="AE552" s="77"/>
      <c r="AF552" s="77"/>
      <c r="AG552" s="79"/>
    </row>
    <row r="553" spans="2:33" ht="15.6" x14ac:dyDescent="0.3">
      <c r="B553" s="88"/>
      <c r="C553" s="76"/>
      <c r="D553" s="88"/>
      <c r="E553" s="88"/>
      <c r="F553" s="76"/>
      <c r="G553" s="76"/>
      <c r="H553" s="76"/>
      <c r="I553" s="89"/>
      <c r="J553" s="89"/>
      <c r="K553" s="76"/>
      <c r="L553" s="76"/>
      <c r="M553" s="76"/>
      <c r="N553" s="76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8"/>
      <c r="AB553" s="77"/>
      <c r="AC553" s="77"/>
      <c r="AD553" s="77"/>
      <c r="AE553" s="77"/>
      <c r="AF553" s="77"/>
      <c r="AG553" s="79"/>
    </row>
    <row r="554" spans="2:33" ht="15.6" x14ac:dyDescent="0.3">
      <c r="B554" s="88"/>
      <c r="C554" s="76"/>
      <c r="D554" s="88"/>
      <c r="E554" s="88"/>
      <c r="F554" s="76"/>
      <c r="G554" s="76"/>
      <c r="H554" s="76"/>
      <c r="I554" s="89"/>
      <c r="J554" s="89"/>
      <c r="K554" s="76"/>
      <c r="L554" s="76"/>
      <c r="M554" s="76"/>
      <c r="N554" s="76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8"/>
      <c r="AB554" s="77"/>
      <c r="AC554" s="77"/>
      <c r="AD554" s="77"/>
      <c r="AE554" s="77"/>
      <c r="AF554" s="77"/>
      <c r="AG554" s="79"/>
    </row>
    <row r="555" spans="2:33" ht="15.6" x14ac:dyDescent="0.3">
      <c r="B555" s="88"/>
      <c r="C555" s="76"/>
      <c r="D555" s="88"/>
      <c r="E555" s="88"/>
      <c r="F555" s="76"/>
      <c r="G555" s="76"/>
      <c r="H555" s="76"/>
      <c r="I555" s="89"/>
      <c r="J555" s="89"/>
      <c r="K555" s="76"/>
      <c r="L555" s="76"/>
      <c r="M555" s="76"/>
      <c r="N555" s="76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8"/>
      <c r="AB555" s="77"/>
      <c r="AC555" s="77"/>
      <c r="AD555" s="77"/>
      <c r="AE555" s="77"/>
      <c r="AF555" s="77"/>
      <c r="AG555" s="79"/>
    </row>
    <row r="556" spans="2:33" ht="15.6" x14ac:dyDescent="0.3">
      <c r="B556" s="88"/>
      <c r="C556" s="76"/>
      <c r="D556" s="88"/>
      <c r="E556" s="88"/>
      <c r="F556" s="76"/>
      <c r="G556" s="76"/>
      <c r="H556" s="76"/>
      <c r="I556" s="89"/>
      <c r="J556" s="89"/>
      <c r="K556" s="76"/>
      <c r="L556" s="76"/>
      <c r="M556" s="76"/>
      <c r="N556" s="76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8"/>
      <c r="AB556" s="77"/>
      <c r="AC556" s="77"/>
      <c r="AD556" s="77"/>
      <c r="AE556" s="77"/>
      <c r="AF556" s="77"/>
      <c r="AG556" s="79"/>
    </row>
    <row r="557" spans="2:33" ht="15.6" x14ac:dyDescent="0.3">
      <c r="B557" s="88"/>
      <c r="C557" s="76"/>
      <c r="D557" s="88"/>
      <c r="E557" s="88"/>
      <c r="F557" s="76"/>
      <c r="G557" s="76"/>
      <c r="H557" s="76"/>
      <c r="I557" s="89"/>
      <c r="J557" s="89"/>
      <c r="K557" s="76"/>
      <c r="L557" s="76"/>
      <c r="M557" s="76"/>
      <c r="N557" s="76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8"/>
      <c r="AB557" s="77"/>
      <c r="AC557" s="77"/>
      <c r="AD557" s="77"/>
      <c r="AE557" s="77"/>
      <c r="AF557" s="77"/>
      <c r="AG557" s="79"/>
    </row>
    <row r="558" spans="2:33" ht="15.6" x14ac:dyDescent="0.3">
      <c r="B558" s="88"/>
      <c r="C558" s="76"/>
      <c r="D558" s="88"/>
      <c r="E558" s="88"/>
      <c r="F558" s="76"/>
      <c r="G558" s="76"/>
      <c r="H558" s="76"/>
      <c r="I558" s="89"/>
      <c r="J558" s="89"/>
      <c r="K558" s="76"/>
      <c r="L558" s="76"/>
      <c r="M558" s="76"/>
      <c r="N558" s="76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8"/>
      <c r="AB558" s="77"/>
      <c r="AC558" s="77"/>
      <c r="AD558" s="77"/>
      <c r="AE558" s="77"/>
      <c r="AF558" s="77"/>
      <c r="AG558" s="79"/>
    </row>
    <row r="559" spans="2:33" ht="15.6" x14ac:dyDescent="0.3">
      <c r="B559" s="88"/>
      <c r="C559" s="76"/>
      <c r="D559" s="88"/>
      <c r="E559" s="88"/>
      <c r="F559" s="76"/>
      <c r="G559" s="76"/>
      <c r="H559" s="76"/>
      <c r="I559" s="89"/>
      <c r="J559" s="89"/>
      <c r="K559" s="76"/>
      <c r="L559" s="76"/>
      <c r="M559" s="76"/>
      <c r="N559" s="76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8"/>
      <c r="AB559" s="77"/>
      <c r="AC559" s="77"/>
      <c r="AD559" s="77"/>
      <c r="AE559" s="77"/>
      <c r="AF559" s="77"/>
      <c r="AG559" s="79"/>
    </row>
    <row r="560" spans="2:33" ht="15.6" x14ac:dyDescent="0.3">
      <c r="B560" s="88"/>
      <c r="C560" s="76"/>
      <c r="D560" s="88"/>
      <c r="E560" s="88"/>
      <c r="F560" s="76"/>
      <c r="G560" s="76"/>
      <c r="H560" s="76"/>
      <c r="I560" s="89"/>
      <c r="J560" s="89"/>
      <c r="K560" s="76"/>
      <c r="L560" s="76"/>
      <c r="M560" s="76"/>
      <c r="N560" s="76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8"/>
      <c r="AB560" s="77"/>
      <c r="AC560" s="77"/>
      <c r="AD560" s="77"/>
      <c r="AE560" s="77"/>
      <c r="AF560" s="77"/>
      <c r="AG560" s="79"/>
    </row>
    <row r="561" spans="2:33" ht="15.6" x14ac:dyDescent="0.3">
      <c r="B561" s="88"/>
      <c r="C561" s="76"/>
      <c r="D561" s="88"/>
      <c r="E561" s="88"/>
      <c r="F561" s="76"/>
      <c r="G561" s="76"/>
      <c r="H561" s="76"/>
      <c r="I561" s="89"/>
      <c r="J561" s="89"/>
      <c r="K561" s="76"/>
      <c r="L561" s="76"/>
      <c r="M561" s="76"/>
      <c r="N561" s="76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8"/>
      <c r="AB561" s="77"/>
      <c r="AC561" s="77"/>
      <c r="AD561" s="77"/>
      <c r="AE561" s="77"/>
      <c r="AF561" s="77"/>
      <c r="AG561" s="79"/>
    </row>
    <row r="562" spans="2:33" ht="15.6" x14ac:dyDescent="0.3">
      <c r="B562" s="88"/>
      <c r="C562" s="76"/>
      <c r="D562" s="88"/>
      <c r="E562" s="88"/>
      <c r="F562" s="76"/>
      <c r="G562" s="76"/>
      <c r="H562" s="76"/>
      <c r="I562" s="89"/>
      <c r="J562" s="89"/>
      <c r="K562" s="76"/>
      <c r="L562" s="76"/>
      <c r="M562" s="76"/>
      <c r="N562" s="76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8"/>
      <c r="AB562" s="77"/>
      <c r="AC562" s="77"/>
      <c r="AD562" s="77"/>
      <c r="AE562" s="77"/>
      <c r="AF562" s="77"/>
      <c r="AG562" s="79"/>
    </row>
    <row r="563" spans="2:33" ht="15.6" x14ac:dyDescent="0.3">
      <c r="B563" s="88"/>
      <c r="C563" s="76"/>
      <c r="D563" s="88"/>
      <c r="E563" s="88"/>
      <c r="F563" s="76"/>
      <c r="G563" s="76"/>
      <c r="H563" s="76"/>
      <c r="I563" s="89"/>
      <c r="J563" s="89"/>
      <c r="K563" s="76"/>
      <c r="L563" s="76"/>
      <c r="M563" s="76"/>
      <c r="N563" s="76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8"/>
      <c r="AB563" s="77"/>
      <c r="AC563" s="77"/>
      <c r="AD563" s="77"/>
      <c r="AE563" s="77"/>
      <c r="AF563" s="77"/>
      <c r="AG563" s="79"/>
    </row>
    <row r="564" spans="2:33" ht="15.6" x14ac:dyDescent="0.3">
      <c r="B564" s="88"/>
      <c r="C564" s="76"/>
      <c r="D564" s="88"/>
      <c r="E564" s="88"/>
      <c r="F564" s="76"/>
      <c r="G564" s="76"/>
      <c r="H564" s="76"/>
      <c r="I564" s="89"/>
      <c r="J564" s="89"/>
      <c r="K564" s="76"/>
      <c r="L564" s="76"/>
      <c r="M564" s="76"/>
      <c r="N564" s="76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8"/>
      <c r="AB564" s="77"/>
      <c r="AC564" s="77"/>
      <c r="AD564" s="77"/>
      <c r="AE564" s="77"/>
      <c r="AF564" s="77"/>
      <c r="AG564" s="79"/>
    </row>
    <row r="565" spans="2:33" ht="15.6" x14ac:dyDescent="0.3">
      <c r="B565" s="88"/>
      <c r="C565" s="76"/>
      <c r="D565" s="88"/>
      <c r="E565" s="88"/>
      <c r="F565" s="76"/>
      <c r="G565" s="76"/>
      <c r="H565" s="76"/>
      <c r="I565" s="89"/>
      <c r="J565" s="89"/>
      <c r="K565" s="76"/>
      <c r="L565" s="76"/>
      <c r="M565" s="76"/>
      <c r="N565" s="76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8"/>
      <c r="AB565" s="77"/>
      <c r="AC565" s="77"/>
      <c r="AD565" s="77"/>
      <c r="AE565" s="77"/>
      <c r="AF565" s="77"/>
      <c r="AG565" s="79"/>
    </row>
    <row r="566" spans="2:33" ht="15.6" x14ac:dyDescent="0.3">
      <c r="B566" s="88"/>
      <c r="C566" s="76"/>
      <c r="D566" s="88"/>
      <c r="E566" s="88"/>
      <c r="F566" s="76"/>
      <c r="G566" s="76"/>
      <c r="H566" s="76"/>
      <c r="I566" s="89"/>
      <c r="J566" s="89"/>
      <c r="K566" s="76"/>
      <c r="L566" s="76"/>
      <c r="M566" s="76"/>
      <c r="N566" s="76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8"/>
      <c r="AB566" s="77"/>
      <c r="AC566" s="77"/>
      <c r="AD566" s="77"/>
      <c r="AE566" s="77"/>
      <c r="AF566" s="77"/>
      <c r="AG566" s="79"/>
    </row>
    <row r="567" spans="2:33" ht="15.6" x14ac:dyDescent="0.3">
      <c r="B567" s="88"/>
      <c r="C567" s="76"/>
      <c r="D567" s="88"/>
      <c r="E567" s="88"/>
      <c r="F567" s="76"/>
      <c r="G567" s="76"/>
      <c r="H567" s="76"/>
      <c r="I567" s="89"/>
      <c r="J567" s="89"/>
      <c r="K567" s="76"/>
      <c r="L567" s="76"/>
      <c r="M567" s="76"/>
      <c r="N567" s="76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8"/>
      <c r="AB567" s="77"/>
      <c r="AC567" s="77"/>
      <c r="AD567" s="77"/>
      <c r="AE567" s="77"/>
      <c r="AF567" s="77"/>
      <c r="AG567" s="79"/>
    </row>
    <row r="568" spans="2:33" ht="15.6" x14ac:dyDescent="0.3">
      <c r="B568" s="88"/>
      <c r="C568" s="76"/>
      <c r="D568" s="88"/>
      <c r="E568" s="88"/>
      <c r="F568" s="76"/>
      <c r="G568" s="76"/>
      <c r="H568" s="76"/>
      <c r="I568" s="89"/>
      <c r="J568" s="89"/>
      <c r="K568" s="76"/>
      <c r="L568" s="76"/>
      <c r="M568" s="76"/>
      <c r="N568" s="76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8"/>
      <c r="AB568" s="77"/>
      <c r="AC568" s="77"/>
      <c r="AD568" s="77"/>
      <c r="AE568" s="77"/>
      <c r="AF568" s="77"/>
      <c r="AG568" s="79"/>
    </row>
    <row r="569" spans="2:33" ht="15.6" x14ac:dyDescent="0.3">
      <c r="B569" s="88"/>
      <c r="C569" s="76"/>
      <c r="D569" s="88"/>
      <c r="E569" s="88"/>
      <c r="F569" s="76"/>
      <c r="G569" s="76"/>
      <c r="H569" s="76"/>
      <c r="I569" s="89"/>
      <c r="J569" s="89"/>
      <c r="K569" s="76"/>
      <c r="L569" s="76"/>
      <c r="M569" s="76"/>
      <c r="N569" s="76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8"/>
      <c r="AB569" s="77"/>
      <c r="AC569" s="77"/>
      <c r="AD569" s="77"/>
      <c r="AE569" s="77"/>
      <c r="AF569" s="77"/>
      <c r="AG569" s="79"/>
    </row>
    <row r="570" spans="2:33" ht="15.6" x14ac:dyDescent="0.3">
      <c r="B570" s="88"/>
      <c r="C570" s="76"/>
      <c r="D570" s="88"/>
      <c r="E570" s="88"/>
      <c r="F570" s="76"/>
      <c r="G570" s="76"/>
      <c r="H570" s="76"/>
      <c r="I570" s="89"/>
      <c r="J570" s="89"/>
      <c r="K570" s="76"/>
      <c r="L570" s="76"/>
      <c r="M570" s="76"/>
      <c r="N570" s="76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8"/>
      <c r="AB570" s="77"/>
      <c r="AC570" s="77"/>
      <c r="AD570" s="77"/>
      <c r="AE570" s="77"/>
      <c r="AF570" s="77"/>
      <c r="AG570" s="79"/>
    </row>
    <row r="571" spans="2:33" ht="15.6" x14ac:dyDescent="0.3">
      <c r="B571" s="88"/>
      <c r="C571" s="76"/>
      <c r="D571" s="88"/>
      <c r="E571" s="88"/>
      <c r="F571" s="76"/>
      <c r="G571" s="76"/>
      <c r="H571" s="76"/>
      <c r="I571" s="89"/>
      <c r="J571" s="89"/>
      <c r="K571" s="76"/>
      <c r="L571" s="76"/>
      <c r="M571" s="76"/>
      <c r="N571" s="76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8"/>
      <c r="AB571" s="77"/>
      <c r="AC571" s="77"/>
      <c r="AD571" s="77"/>
      <c r="AE571" s="77"/>
      <c r="AF571" s="77"/>
      <c r="AG571" s="79"/>
    </row>
    <row r="572" spans="2:33" ht="15.6" x14ac:dyDescent="0.3">
      <c r="B572" s="88"/>
      <c r="C572" s="76"/>
      <c r="D572" s="88"/>
      <c r="E572" s="88"/>
      <c r="F572" s="76"/>
      <c r="G572" s="76"/>
      <c r="H572" s="76"/>
      <c r="I572" s="89"/>
      <c r="J572" s="89"/>
      <c r="K572" s="76"/>
      <c r="L572" s="76"/>
      <c r="M572" s="76"/>
      <c r="N572" s="76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8"/>
      <c r="AB572" s="77"/>
      <c r="AC572" s="77"/>
      <c r="AD572" s="77"/>
      <c r="AE572" s="77"/>
      <c r="AF572" s="77"/>
      <c r="AG572" s="79"/>
    </row>
    <row r="573" spans="2:33" ht="15.6" x14ac:dyDescent="0.3">
      <c r="B573" s="88"/>
      <c r="C573" s="76"/>
      <c r="D573" s="88"/>
      <c r="E573" s="88"/>
      <c r="F573" s="76"/>
      <c r="G573" s="76"/>
      <c r="H573" s="76"/>
      <c r="I573" s="89"/>
      <c r="J573" s="89"/>
      <c r="K573" s="76"/>
      <c r="L573" s="76"/>
      <c r="M573" s="76"/>
      <c r="N573" s="76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8"/>
      <c r="AB573" s="77"/>
      <c r="AC573" s="77"/>
      <c r="AD573" s="77"/>
      <c r="AE573" s="77"/>
      <c r="AF573" s="77"/>
      <c r="AG573" s="79"/>
    </row>
    <row r="574" spans="2:33" ht="15.6" x14ac:dyDescent="0.3">
      <c r="B574" s="88"/>
      <c r="C574" s="76"/>
      <c r="D574" s="88"/>
      <c r="E574" s="88"/>
      <c r="F574" s="76"/>
      <c r="G574" s="76"/>
      <c r="H574" s="76"/>
      <c r="I574" s="89"/>
      <c r="J574" s="89"/>
      <c r="K574" s="76"/>
      <c r="L574" s="76"/>
      <c r="M574" s="76"/>
      <c r="N574" s="76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8"/>
      <c r="AB574" s="77"/>
      <c r="AC574" s="77"/>
      <c r="AD574" s="77"/>
      <c r="AE574" s="77"/>
      <c r="AF574" s="77"/>
      <c r="AG574" s="79"/>
    </row>
    <row r="575" spans="2:33" ht="15.6" x14ac:dyDescent="0.3">
      <c r="B575" s="88"/>
      <c r="C575" s="76"/>
      <c r="D575" s="88"/>
      <c r="E575" s="88"/>
      <c r="F575" s="76"/>
      <c r="G575" s="76"/>
      <c r="H575" s="76"/>
      <c r="I575" s="89"/>
      <c r="J575" s="89"/>
      <c r="K575" s="76"/>
      <c r="L575" s="76"/>
      <c r="M575" s="76"/>
      <c r="N575" s="76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8"/>
      <c r="AB575" s="77"/>
      <c r="AC575" s="77"/>
      <c r="AD575" s="77"/>
      <c r="AE575" s="77"/>
      <c r="AF575" s="77"/>
      <c r="AG575" s="79"/>
    </row>
    <row r="576" spans="2:33" ht="15.6" x14ac:dyDescent="0.3">
      <c r="B576" s="88"/>
      <c r="C576" s="76"/>
      <c r="D576" s="88"/>
      <c r="E576" s="88"/>
      <c r="F576" s="76"/>
      <c r="G576" s="76"/>
      <c r="H576" s="76"/>
      <c r="I576" s="89"/>
      <c r="J576" s="89"/>
      <c r="K576" s="76"/>
      <c r="L576" s="76"/>
      <c r="M576" s="76"/>
      <c r="N576" s="76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8"/>
      <c r="AB576" s="77"/>
      <c r="AC576" s="77"/>
      <c r="AD576" s="77"/>
      <c r="AE576" s="77"/>
      <c r="AF576" s="77"/>
      <c r="AG576" s="79"/>
    </row>
    <row r="577" spans="2:33" ht="15.6" x14ac:dyDescent="0.3">
      <c r="B577" s="88"/>
      <c r="C577" s="76"/>
      <c r="D577" s="88"/>
      <c r="E577" s="88"/>
      <c r="F577" s="76"/>
      <c r="G577" s="76"/>
      <c r="H577" s="76"/>
      <c r="I577" s="89"/>
      <c r="J577" s="89"/>
      <c r="K577" s="76"/>
      <c r="L577" s="76"/>
      <c r="M577" s="76"/>
      <c r="N577" s="76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8"/>
      <c r="AB577" s="77"/>
      <c r="AC577" s="77"/>
      <c r="AD577" s="77"/>
      <c r="AE577" s="77"/>
      <c r="AF577" s="77"/>
      <c r="AG577" s="79"/>
    </row>
    <row r="578" spans="2:33" ht="15.6" x14ac:dyDescent="0.3">
      <c r="B578" s="88"/>
      <c r="C578" s="76"/>
      <c r="D578" s="88"/>
      <c r="E578" s="88"/>
      <c r="F578" s="76"/>
      <c r="G578" s="76"/>
      <c r="H578" s="76"/>
      <c r="I578" s="89"/>
      <c r="J578" s="89"/>
      <c r="K578" s="76"/>
      <c r="L578" s="76"/>
      <c r="M578" s="76"/>
      <c r="N578" s="76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8"/>
      <c r="AB578" s="77"/>
      <c r="AC578" s="77"/>
      <c r="AD578" s="77"/>
      <c r="AE578" s="77"/>
      <c r="AF578" s="77"/>
      <c r="AG578" s="79"/>
    </row>
    <row r="579" spans="2:33" ht="15.6" x14ac:dyDescent="0.3">
      <c r="B579" s="88"/>
      <c r="C579" s="76"/>
      <c r="D579" s="88"/>
      <c r="E579" s="88"/>
      <c r="F579" s="76"/>
      <c r="G579" s="76"/>
      <c r="H579" s="76"/>
      <c r="I579" s="89"/>
      <c r="J579" s="89"/>
      <c r="K579" s="76"/>
      <c r="L579" s="76"/>
      <c r="M579" s="76"/>
      <c r="N579" s="76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8"/>
      <c r="AB579" s="77"/>
      <c r="AC579" s="77"/>
      <c r="AD579" s="77"/>
      <c r="AE579" s="77"/>
      <c r="AF579" s="77"/>
      <c r="AG579" s="79"/>
    </row>
    <row r="580" spans="2:33" ht="15.6" x14ac:dyDescent="0.3">
      <c r="B580" s="88"/>
      <c r="C580" s="76"/>
      <c r="D580" s="88"/>
      <c r="E580" s="88"/>
      <c r="F580" s="76"/>
      <c r="G580" s="76"/>
      <c r="H580" s="76"/>
      <c r="I580" s="89"/>
      <c r="J580" s="89"/>
      <c r="K580" s="76"/>
      <c r="L580" s="76"/>
      <c r="M580" s="76"/>
      <c r="N580" s="76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8"/>
      <c r="AB580" s="77"/>
      <c r="AC580" s="77"/>
      <c r="AD580" s="77"/>
      <c r="AE580" s="77"/>
      <c r="AF580" s="77"/>
      <c r="AG580" s="79"/>
    </row>
    <row r="581" spans="2:33" ht="15.6" x14ac:dyDescent="0.3">
      <c r="B581" s="88"/>
      <c r="C581" s="76"/>
      <c r="D581" s="88"/>
      <c r="E581" s="88"/>
      <c r="F581" s="76"/>
      <c r="G581" s="76"/>
      <c r="H581" s="76"/>
      <c r="I581" s="89"/>
      <c r="J581" s="89"/>
      <c r="K581" s="76"/>
      <c r="L581" s="76"/>
      <c r="M581" s="76"/>
      <c r="N581" s="76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8"/>
      <c r="AB581" s="77"/>
      <c r="AC581" s="77"/>
      <c r="AD581" s="77"/>
      <c r="AE581" s="77"/>
      <c r="AF581" s="77"/>
      <c r="AG581" s="79"/>
    </row>
    <row r="582" spans="2:33" ht="15.6" x14ac:dyDescent="0.3">
      <c r="B582" s="88"/>
      <c r="C582" s="76"/>
      <c r="D582" s="88"/>
      <c r="E582" s="88"/>
      <c r="F582" s="76"/>
      <c r="G582" s="76"/>
      <c r="H582" s="76"/>
      <c r="I582" s="89"/>
      <c r="J582" s="89"/>
      <c r="K582" s="76"/>
      <c r="L582" s="76"/>
      <c r="M582" s="76"/>
      <c r="N582" s="76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8"/>
      <c r="AB582" s="77"/>
      <c r="AC582" s="77"/>
      <c r="AD582" s="77"/>
      <c r="AE582" s="77"/>
      <c r="AF582" s="77"/>
      <c r="AG582" s="79"/>
    </row>
    <row r="583" spans="2:33" ht="15.6" x14ac:dyDescent="0.3">
      <c r="B583" s="88"/>
      <c r="C583" s="76"/>
      <c r="D583" s="88"/>
      <c r="E583" s="88"/>
      <c r="F583" s="76"/>
      <c r="G583" s="76"/>
      <c r="H583" s="76"/>
      <c r="I583" s="89"/>
      <c r="J583" s="89"/>
      <c r="K583" s="76"/>
      <c r="L583" s="76"/>
      <c r="M583" s="76"/>
      <c r="N583" s="76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8"/>
      <c r="AB583" s="77"/>
      <c r="AC583" s="77"/>
      <c r="AD583" s="77"/>
      <c r="AE583" s="77"/>
      <c r="AF583" s="77"/>
      <c r="AG583" s="79"/>
    </row>
    <row r="584" spans="2:33" ht="15.6" x14ac:dyDescent="0.3">
      <c r="B584" s="88"/>
      <c r="C584" s="76"/>
      <c r="D584" s="88"/>
      <c r="E584" s="88"/>
      <c r="F584" s="76"/>
      <c r="G584" s="76"/>
      <c r="H584" s="76"/>
      <c r="I584" s="89"/>
      <c r="J584" s="89"/>
      <c r="K584" s="76"/>
      <c r="L584" s="76"/>
      <c r="M584" s="76"/>
      <c r="N584" s="76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8"/>
      <c r="AB584" s="77"/>
      <c r="AC584" s="77"/>
      <c r="AD584" s="77"/>
      <c r="AE584" s="77"/>
      <c r="AF584" s="77"/>
      <c r="AG584" s="79"/>
    </row>
    <row r="585" spans="2:33" ht="15.6" x14ac:dyDescent="0.3">
      <c r="B585" s="88"/>
      <c r="C585" s="76"/>
      <c r="D585" s="88"/>
      <c r="E585" s="88"/>
      <c r="F585" s="76"/>
      <c r="G585" s="76"/>
      <c r="H585" s="76"/>
      <c r="I585" s="89"/>
      <c r="J585" s="89"/>
      <c r="K585" s="76"/>
      <c r="L585" s="76"/>
      <c r="M585" s="76"/>
      <c r="N585" s="76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8"/>
      <c r="AB585" s="77"/>
      <c r="AC585" s="77"/>
      <c r="AD585" s="77"/>
      <c r="AE585" s="77"/>
      <c r="AF585" s="77"/>
      <c r="AG585" s="79"/>
    </row>
    <row r="586" spans="2:33" ht="15.6" x14ac:dyDescent="0.3">
      <c r="B586" s="88"/>
      <c r="C586" s="76"/>
      <c r="D586" s="88"/>
      <c r="E586" s="88"/>
      <c r="F586" s="76"/>
      <c r="G586" s="76"/>
      <c r="H586" s="76"/>
      <c r="I586" s="89"/>
      <c r="J586" s="89"/>
      <c r="K586" s="76"/>
      <c r="L586" s="76"/>
      <c r="M586" s="76"/>
      <c r="N586" s="76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8"/>
      <c r="AB586" s="77"/>
      <c r="AC586" s="77"/>
      <c r="AD586" s="77"/>
      <c r="AE586" s="77"/>
      <c r="AF586" s="77"/>
      <c r="AG586" s="79"/>
    </row>
    <row r="587" spans="2:33" ht="15.6" x14ac:dyDescent="0.3">
      <c r="B587" s="88"/>
      <c r="C587" s="76"/>
      <c r="D587" s="88"/>
      <c r="E587" s="88"/>
      <c r="F587" s="76"/>
      <c r="G587" s="76"/>
      <c r="H587" s="76"/>
      <c r="I587" s="89"/>
      <c r="J587" s="89"/>
      <c r="K587" s="76"/>
      <c r="L587" s="76"/>
      <c r="M587" s="76"/>
      <c r="N587" s="76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8"/>
      <c r="AB587" s="77"/>
      <c r="AC587" s="77"/>
      <c r="AD587" s="77"/>
      <c r="AE587" s="77"/>
      <c r="AF587" s="77"/>
      <c r="AG587" s="79"/>
    </row>
    <row r="588" spans="2:33" ht="15.6" x14ac:dyDescent="0.3">
      <c r="B588" s="88"/>
      <c r="C588" s="76"/>
      <c r="D588" s="88"/>
      <c r="E588" s="88"/>
      <c r="F588" s="76"/>
      <c r="G588" s="76"/>
      <c r="H588" s="76"/>
      <c r="I588" s="89"/>
      <c r="J588" s="89"/>
      <c r="K588" s="76"/>
      <c r="L588" s="76"/>
      <c r="M588" s="76"/>
      <c r="N588" s="76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8"/>
      <c r="AB588" s="77"/>
      <c r="AC588" s="77"/>
      <c r="AD588" s="77"/>
      <c r="AE588" s="77"/>
      <c r="AF588" s="77"/>
      <c r="AG588" s="79"/>
    </row>
    <row r="589" spans="2:33" ht="15.6" x14ac:dyDescent="0.3">
      <c r="B589" s="88"/>
      <c r="C589" s="76"/>
      <c r="D589" s="88"/>
      <c r="E589" s="88"/>
      <c r="F589" s="76"/>
      <c r="G589" s="76"/>
      <c r="H589" s="76"/>
      <c r="I589" s="89"/>
      <c r="J589" s="89"/>
      <c r="K589" s="76"/>
      <c r="L589" s="76"/>
      <c r="M589" s="76"/>
      <c r="N589" s="76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8"/>
      <c r="AB589" s="77"/>
      <c r="AC589" s="77"/>
      <c r="AD589" s="77"/>
      <c r="AE589" s="77"/>
      <c r="AF589" s="77"/>
      <c r="AG589" s="79"/>
    </row>
    <row r="590" spans="2:33" ht="15.6" x14ac:dyDescent="0.3">
      <c r="B590" s="88"/>
      <c r="C590" s="76"/>
      <c r="D590" s="88"/>
      <c r="E590" s="88"/>
      <c r="F590" s="76"/>
      <c r="G590" s="76"/>
      <c r="H590" s="76"/>
      <c r="I590" s="89"/>
      <c r="J590" s="89"/>
      <c r="K590" s="76"/>
      <c r="L590" s="76"/>
      <c r="M590" s="76"/>
      <c r="N590" s="76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8"/>
      <c r="AB590" s="77"/>
      <c r="AC590" s="77"/>
      <c r="AD590" s="77"/>
      <c r="AE590" s="77"/>
      <c r="AF590" s="77"/>
      <c r="AG590" s="79"/>
    </row>
    <row r="591" spans="2:33" ht="15.6" x14ac:dyDescent="0.3">
      <c r="B591" s="88"/>
      <c r="C591" s="76"/>
      <c r="D591" s="88"/>
      <c r="E591" s="88"/>
      <c r="F591" s="76"/>
      <c r="G591" s="76"/>
      <c r="H591" s="76"/>
      <c r="I591" s="89"/>
      <c r="J591" s="89"/>
      <c r="K591" s="76"/>
      <c r="L591" s="76"/>
      <c r="M591" s="76"/>
      <c r="N591" s="76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8"/>
      <c r="AB591" s="77"/>
      <c r="AC591" s="77"/>
      <c r="AD591" s="77"/>
      <c r="AE591" s="77"/>
      <c r="AF591" s="77"/>
      <c r="AG591" s="79"/>
    </row>
    <row r="592" spans="2:33" ht="15.6" x14ac:dyDescent="0.3">
      <c r="B592" s="88"/>
      <c r="C592" s="76"/>
      <c r="D592" s="88"/>
      <c r="E592" s="88"/>
      <c r="F592" s="76"/>
      <c r="G592" s="76"/>
      <c r="H592" s="76"/>
      <c r="I592" s="89"/>
      <c r="J592" s="89"/>
      <c r="K592" s="76"/>
      <c r="L592" s="76"/>
      <c r="M592" s="76"/>
      <c r="N592" s="76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8"/>
      <c r="AB592" s="77"/>
      <c r="AC592" s="77"/>
      <c r="AD592" s="77"/>
      <c r="AE592" s="77"/>
      <c r="AF592" s="77"/>
      <c r="AG592" s="79"/>
    </row>
    <row r="593" spans="2:33" ht="15.6" x14ac:dyDescent="0.3">
      <c r="B593" s="88"/>
      <c r="C593" s="76"/>
      <c r="D593" s="88"/>
      <c r="E593" s="88"/>
      <c r="F593" s="76"/>
      <c r="G593" s="76"/>
      <c r="H593" s="76"/>
      <c r="I593" s="89"/>
      <c r="J593" s="89"/>
      <c r="K593" s="76"/>
      <c r="L593" s="76"/>
      <c r="M593" s="76"/>
      <c r="N593" s="76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8"/>
      <c r="AB593" s="77"/>
      <c r="AC593" s="77"/>
      <c r="AD593" s="77"/>
      <c r="AE593" s="77"/>
      <c r="AF593" s="77"/>
      <c r="AG593" s="79"/>
    </row>
    <row r="594" spans="2:33" ht="15.6" x14ac:dyDescent="0.3">
      <c r="B594" s="88"/>
      <c r="C594" s="76"/>
      <c r="D594" s="88"/>
      <c r="E594" s="88"/>
      <c r="F594" s="76"/>
      <c r="G594" s="76"/>
      <c r="H594" s="76"/>
      <c r="I594" s="89"/>
      <c r="J594" s="89"/>
      <c r="K594" s="76"/>
      <c r="L594" s="76"/>
      <c r="M594" s="76"/>
      <c r="N594" s="76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8"/>
      <c r="AB594" s="77"/>
      <c r="AC594" s="77"/>
      <c r="AD594" s="77"/>
      <c r="AE594" s="77"/>
      <c r="AF594" s="77"/>
      <c r="AG594" s="79"/>
    </row>
    <row r="595" spans="2:33" ht="15.6" x14ac:dyDescent="0.3">
      <c r="B595" s="88"/>
      <c r="C595" s="76"/>
      <c r="D595" s="88"/>
      <c r="E595" s="88"/>
      <c r="F595" s="76"/>
      <c r="G595" s="76"/>
      <c r="H595" s="76"/>
      <c r="I595" s="89"/>
      <c r="J595" s="89"/>
      <c r="K595" s="76"/>
      <c r="L595" s="76"/>
      <c r="M595" s="76"/>
      <c r="N595" s="76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8"/>
      <c r="AB595" s="77"/>
      <c r="AC595" s="77"/>
      <c r="AD595" s="77"/>
      <c r="AE595" s="77"/>
      <c r="AF595" s="77"/>
      <c r="AG595" s="79"/>
    </row>
    <row r="596" spans="2:33" ht="15.6" x14ac:dyDescent="0.3">
      <c r="B596" s="88"/>
      <c r="C596" s="76"/>
      <c r="D596" s="88"/>
      <c r="E596" s="88"/>
      <c r="F596" s="76"/>
      <c r="G596" s="76"/>
      <c r="H596" s="76"/>
      <c r="I596" s="89"/>
      <c r="J596" s="89"/>
      <c r="K596" s="76"/>
      <c r="L596" s="76"/>
      <c r="M596" s="76"/>
      <c r="N596" s="76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8"/>
      <c r="AB596" s="77"/>
      <c r="AC596" s="77"/>
      <c r="AD596" s="77"/>
      <c r="AE596" s="77"/>
      <c r="AF596" s="77"/>
      <c r="AG596" s="79"/>
    </row>
    <row r="597" spans="2:33" ht="15.6" x14ac:dyDescent="0.3">
      <c r="B597" s="88"/>
      <c r="C597" s="76"/>
      <c r="D597" s="88"/>
      <c r="E597" s="88"/>
      <c r="F597" s="76"/>
      <c r="G597" s="76"/>
      <c r="H597" s="76"/>
      <c r="I597" s="89"/>
      <c r="J597" s="89"/>
      <c r="K597" s="76"/>
      <c r="L597" s="76"/>
      <c r="M597" s="76"/>
      <c r="N597" s="76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8"/>
      <c r="AB597" s="77"/>
      <c r="AC597" s="77"/>
      <c r="AD597" s="77"/>
      <c r="AE597" s="77"/>
      <c r="AF597" s="77"/>
      <c r="AG597" s="79"/>
    </row>
    <row r="598" spans="2:33" ht="15.6" x14ac:dyDescent="0.3">
      <c r="B598" s="88"/>
      <c r="C598" s="76"/>
      <c r="D598" s="88"/>
      <c r="E598" s="88"/>
      <c r="F598" s="76"/>
      <c r="G598" s="76"/>
      <c r="H598" s="76"/>
      <c r="I598" s="89"/>
      <c r="J598" s="89"/>
      <c r="K598" s="76"/>
      <c r="L598" s="76"/>
      <c r="M598" s="76"/>
      <c r="N598" s="76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8"/>
      <c r="AB598" s="77"/>
      <c r="AC598" s="77"/>
      <c r="AD598" s="77"/>
      <c r="AE598" s="77"/>
      <c r="AF598" s="77"/>
      <c r="AG598" s="79"/>
    </row>
    <row r="599" spans="2:33" ht="15.6" x14ac:dyDescent="0.3">
      <c r="B599" s="88"/>
      <c r="C599" s="76"/>
      <c r="D599" s="88"/>
      <c r="E599" s="88"/>
      <c r="F599" s="76"/>
      <c r="G599" s="76"/>
      <c r="H599" s="76"/>
      <c r="I599" s="89"/>
      <c r="J599" s="89"/>
      <c r="K599" s="76"/>
      <c r="L599" s="76"/>
      <c r="M599" s="76"/>
      <c r="N599" s="76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8"/>
      <c r="AB599" s="77"/>
      <c r="AC599" s="77"/>
      <c r="AD599" s="77"/>
      <c r="AE599" s="77"/>
      <c r="AF599" s="77"/>
      <c r="AG599" s="79"/>
    </row>
    <row r="600" spans="2:33" ht="15.6" x14ac:dyDescent="0.3">
      <c r="B600" s="88"/>
      <c r="C600" s="76"/>
      <c r="D600" s="88"/>
      <c r="E600" s="88"/>
      <c r="F600" s="76"/>
      <c r="G600" s="76"/>
      <c r="H600" s="76"/>
      <c r="I600" s="89"/>
      <c r="J600" s="89"/>
      <c r="K600" s="76"/>
      <c r="L600" s="76"/>
      <c r="M600" s="76"/>
      <c r="N600" s="76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8"/>
      <c r="AB600" s="77"/>
      <c r="AC600" s="77"/>
      <c r="AD600" s="77"/>
      <c r="AE600" s="77"/>
      <c r="AF600" s="77"/>
      <c r="AG600" s="79"/>
    </row>
    <row r="601" spans="2:33" ht="15.6" x14ac:dyDescent="0.3">
      <c r="B601" s="88"/>
      <c r="C601" s="76"/>
      <c r="D601" s="88"/>
      <c r="E601" s="88"/>
      <c r="F601" s="76"/>
      <c r="G601" s="76"/>
      <c r="H601" s="76"/>
      <c r="I601" s="89"/>
      <c r="J601" s="89"/>
      <c r="K601" s="76"/>
      <c r="L601" s="76"/>
      <c r="M601" s="76"/>
      <c r="N601" s="76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8"/>
      <c r="AB601" s="77"/>
      <c r="AC601" s="77"/>
      <c r="AD601" s="77"/>
      <c r="AE601" s="77"/>
      <c r="AF601" s="77"/>
      <c r="AG601" s="79"/>
    </row>
    <row r="602" spans="2:33" ht="15.6" x14ac:dyDescent="0.3">
      <c r="B602" s="88"/>
      <c r="C602" s="76"/>
      <c r="D602" s="88"/>
      <c r="E602" s="88"/>
      <c r="F602" s="76"/>
      <c r="G602" s="76"/>
      <c r="H602" s="76"/>
      <c r="I602" s="89"/>
      <c r="J602" s="89"/>
      <c r="K602" s="76"/>
      <c r="L602" s="76"/>
      <c r="M602" s="76"/>
      <c r="N602" s="76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8"/>
      <c r="AB602" s="77"/>
      <c r="AC602" s="77"/>
      <c r="AD602" s="77"/>
      <c r="AE602" s="77"/>
      <c r="AF602" s="77"/>
      <c r="AG602" s="79"/>
    </row>
    <row r="603" spans="2:33" ht="15.6" x14ac:dyDescent="0.3">
      <c r="B603" s="88"/>
      <c r="C603" s="76"/>
      <c r="D603" s="88"/>
      <c r="E603" s="88"/>
      <c r="F603" s="76"/>
      <c r="G603" s="76"/>
      <c r="H603" s="76"/>
      <c r="I603" s="89"/>
      <c r="J603" s="89"/>
      <c r="K603" s="76"/>
      <c r="L603" s="76"/>
      <c r="M603" s="76"/>
      <c r="N603" s="76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8"/>
      <c r="AB603" s="77"/>
      <c r="AC603" s="77"/>
      <c r="AD603" s="77"/>
      <c r="AE603" s="77"/>
      <c r="AF603" s="77"/>
      <c r="AG603" s="79"/>
    </row>
    <row r="604" spans="2:33" ht="15.6" x14ac:dyDescent="0.3">
      <c r="B604" s="88"/>
      <c r="C604" s="76"/>
      <c r="D604" s="88"/>
      <c r="E604" s="88"/>
      <c r="F604" s="76"/>
      <c r="G604" s="76"/>
      <c r="H604" s="76"/>
      <c r="I604" s="89"/>
      <c r="J604" s="89"/>
      <c r="K604" s="76"/>
      <c r="L604" s="76"/>
      <c r="M604" s="76"/>
      <c r="N604" s="76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8"/>
      <c r="AB604" s="77"/>
      <c r="AC604" s="77"/>
      <c r="AD604" s="77"/>
      <c r="AE604" s="77"/>
      <c r="AF604" s="77"/>
      <c r="AG604" s="79"/>
    </row>
    <row r="605" spans="2:33" ht="15.6" x14ac:dyDescent="0.3">
      <c r="B605" s="88"/>
      <c r="C605" s="76"/>
      <c r="D605" s="88"/>
      <c r="E605" s="88"/>
      <c r="F605" s="76"/>
      <c r="G605" s="76"/>
      <c r="H605" s="76"/>
      <c r="I605" s="89"/>
      <c r="J605" s="89"/>
      <c r="K605" s="76"/>
      <c r="L605" s="76"/>
      <c r="M605" s="76"/>
      <c r="N605" s="76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8"/>
      <c r="AB605" s="77"/>
      <c r="AC605" s="77"/>
      <c r="AD605" s="77"/>
      <c r="AE605" s="77"/>
      <c r="AF605" s="77"/>
      <c r="AG605" s="79"/>
    </row>
    <row r="606" spans="2:33" ht="15.6" x14ac:dyDescent="0.3">
      <c r="B606" s="88"/>
      <c r="C606" s="76"/>
      <c r="D606" s="88"/>
      <c r="E606" s="88"/>
      <c r="F606" s="76"/>
      <c r="G606" s="76"/>
      <c r="H606" s="76"/>
      <c r="I606" s="89"/>
      <c r="J606" s="89"/>
      <c r="K606" s="76"/>
      <c r="L606" s="76"/>
      <c r="M606" s="76"/>
      <c r="N606" s="76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8"/>
      <c r="AB606" s="77"/>
      <c r="AC606" s="77"/>
      <c r="AD606" s="77"/>
      <c r="AE606" s="77"/>
      <c r="AF606" s="77"/>
      <c r="AG606" s="79"/>
    </row>
    <row r="607" spans="2:33" ht="15.6" x14ac:dyDescent="0.3">
      <c r="B607" s="88"/>
      <c r="C607" s="76"/>
      <c r="D607" s="88"/>
      <c r="E607" s="88"/>
      <c r="F607" s="76"/>
      <c r="G607" s="76"/>
      <c r="H607" s="76"/>
      <c r="I607" s="89"/>
      <c r="J607" s="89"/>
      <c r="K607" s="76"/>
      <c r="L607" s="76"/>
      <c r="M607" s="76"/>
      <c r="N607" s="76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8"/>
      <c r="AB607" s="77"/>
      <c r="AC607" s="77"/>
      <c r="AD607" s="77"/>
      <c r="AE607" s="77"/>
      <c r="AF607" s="77"/>
      <c r="AG607" s="79"/>
    </row>
    <row r="608" spans="2:33" ht="15.6" x14ac:dyDescent="0.3">
      <c r="B608" s="88"/>
      <c r="C608" s="76"/>
      <c r="D608" s="88"/>
      <c r="E608" s="88"/>
      <c r="F608" s="76"/>
      <c r="G608" s="76"/>
      <c r="H608" s="76"/>
      <c r="I608" s="89"/>
      <c r="J608" s="89"/>
      <c r="K608" s="76"/>
      <c r="L608" s="76"/>
      <c r="M608" s="76"/>
      <c r="N608" s="76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8"/>
      <c r="AB608" s="77"/>
      <c r="AC608" s="77"/>
      <c r="AD608" s="77"/>
      <c r="AE608" s="77"/>
      <c r="AF608" s="77"/>
      <c r="AG608" s="79"/>
    </row>
    <row r="609" spans="2:33" ht="15.6" x14ac:dyDescent="0.3">
      <c r="B609" s="88"/>
      <c r="C609" s="76"/>
      <c r="D609" s="88"/>
      <c r="E609" s="88"/>
      <c r="F609" s="76"/>
      <c r="G609" s="76"/>
      <c r="H609" s="76"/>
      <c r="I609" s="89"/>
      <c r="J609" s="89"/>
      <c r="K609" s="76"/>
      <c r="L609" s="76"/>
      <c r="M609" s="76"/>
      <c r="N609" s="76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8"/>
      <c r="AB609" s="77"/>
      <c r="AC609" s="77"/>
      <c r="AD609" s="77"/>
      <c r="AE609" s="77"/>
      <c r="AF609" s="77"/>
      <c r="AG609" s="79"/>
    </row>
    <row r="610" spans="2:33" ht="15.6" x14ac:dyDescent="0.3">
      <c r="B610" s="88"/>
      <c r="C610" s="76"/>
      <c r="D610" s="88"/>
      <c r="E610" s="88"/>
      <c r="F610" s="76"/>
      <c r="G610" s="76"/>
      <c r="H610" s="76"/>
      <c r="I610" s="89"/>
      <c r="J610" s="89"/>
      <c r="K610" s="76"/>
      <c r="L610" s="76"/>
      <c r="M610" s="76"/>
      <c r="N610" s="76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8"/>
      <c r="AB610" s="77"/>
      <c r="AC610" s="77"/>
      <c r="AD610" s="77"/>
      <c r="AE610" s="77"/>
      <c r="AF610" s="77"/>
      <c r="AG610" s="79"/>
    </row>
    <row r="611" spans="2:33" ht="15.6" x14ac:dyDescent="0.3">
      <c r="B611" s="88"/>
      <c r="C611" s="76"/>
      <c r="D611" s="88"/>
      <c r="E611" s="88"/>
      <c r="F611" s="76"/>
      <c r="G611" s="76"/>
      <c r="H611" s="76"/>
      <c r="I611" s="89"/>
      <c r="J611" s="89"/>
      <c r="K611" s="76"/>
      <c r="L611" s="76"/>
      <c r="M611" s="76"/>
      <c r="N611" s="76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8"/>
      <c r="AB611" s="77"/>
      <c r="AC611" s="77"/>
      <c r="AD611" s="77"/>
      <c r="AE611" s="77"/>
      <c r="AF611" s="77"/>
      <c r="AG611" s="79"/>
    </row>
    <row r="612" spans="2:33" ht="15.6" x14ac:dyDescent="0.3">
      <c r="B612" s="88"/>
      <c r="C612" s="76"/>
      <c r="D612" s="88"/>
      <c r="E612" s="88"/>
      <c r="F612" s="76"/>
      <c r="G612" s="76"/>
      <c r="H612" s="76"/>
      <c r="I612" s="89"/>
      <c r="J612" s="89"/>
      <c r="K612" s="76"/>
      <c r="L612" s="76"/>
      <c r="M612" s="76"/>
      <c r="N612" s="76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8"/>
      <c r="AB612" s="77"/>
      <c r="AC612" s="77"/>
      <c r="AD612" s="77"/>
      <c r="AE612" s="77"/>
      <c r="AF612" s="77"/>
      <c r="AG612" s="79"/>
    </row>
    <row r="613" spans="2:33" ht="15.6" x14ac:dyDescent="0.3">
      <c r="B613" s="88"/>
      <c r="C613" s="76"/>
      <c r="D613" s="88"/>
      <c r="E613" s="88"/>
      <c r="F613" s="76"/>
      <c r="G613" s="76"/>
      <c r="H613" s="76"/>
      <c r="I613" s="89"/>
      <c r="J613" s="89"/>
      <c r="K613" s="76"/>
      <c r="L613" s="76"/>
      <c r="M613" s="76"/>
      <c r="N613" s="76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8"/>
      <c r="AB613" s="77"/>
      <c r="AC613" s="77"/>
      <c r="AD613" s="77"/>
      <c r="AE613" s="77"/>
      <c r="AF613" s="77"/>
      <c r="AG613" s="79"/>
    </row>
    <row r="614" spans="2:33" ht="15.6" x14ac:dyDescent="0.3">
      <c r="B614" s="88"/>
      <c r="C614" s="76"/>
      <c r="D614" s="88"/>
      <c r="E614" s="88"/>
      <c r="F614" s="76"/>
      <c r="G614" s="76"/>
      <c r="H614" s="76"/>
      <c r="I614" s="89"/>
      <c r="J614" s="89"/>
      <c r="K614" s="76"/>
      <c r="L614" s="76"/>
      <c r="M614" s="76"/>
      <c r="N614" s="76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8"/>
      <c r="AB614" s="77"/>
      <c r="AC614" s="77"/>
      <c r="AD614" s="77"/>
      <c r="AE614" s="77"/>
      <c r="AF614" s="77"/>
      <c r="AG614" s="79"/>
    </row>
    <row r="615" spans="2:33" ht="15.6" x14ac:dyDescent="0.3">
      <c r="B615" s="88"/>
      <c r="C615" s="76"/>
      <c r="D615" s="88"/>
      <c r="E615" s="88"/>
      <c r="F615" s="76"/>
      <c r="G615" s="76"/>
      <c r="H615" s="76"/>
      <c r="I615" s="89"/>
      <c r="J615" s="89"/>
      <c r="K615" s="76"/>
      <c r="L615" s="76"/>
      <c r="M615" s="76"/>
      <c r="N615" s="76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8"/>
      <c r="AB615" s="77"/>
      <c r="AC615" s="77"/>
      <c r="AD615" s="77"/>
      <c r="AE615" s="77"/>
      <c r="AF615" s="77"/>
      <c r="AG615" s="79"/>
    </row>
    <row r="616" spans="2:33" ht="15.6" x14ac:dyDescent="0.3">
      <c r="B616" s="88"/>
      <c r="C616" s="76"/>
      <c r="D616" s="88"/>
      <c r="E616" s="88"/>
      <c r="F616" s="76"/>
      <c r="G616" s="76"/>
      <c r="H616" s="76"/>
      <c r="I616" s="89"/>
      <c r="J616" s="89"/>
      <c r="K616" s="76"/>
      <c r="L616" s="76"/>
      <c r="M616" s="76"/>
      <c r="N616" s="76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8"/>
      <c r="AB616" s="77"/>
      <c r="AC616" s="77"/>
      <c r="AD616" s="77"/>
      <c r="AE616" s="77"/>
      <c r="AF616" s="77"/>
      <c r="AG616" s="79"/>
    </row>
    <row r="617" spans="2:33" ht="15.6" x14ac:dyDescent="0.3">
      <c r="B617" s="88"/>
      <c r="C617" s="76"/>
      <c r="D617" s="88"/>
      <c r="E617" s="88"/>
      <c r="F617" s="76"/>
      <c r="G617" s="76"/>
      <c r="H617" s="76"/>
      <c r="I617" s="89"/>
      <c r="J617" s="89"/>
      <c r="K617" s="76"/>
      <c r="L617" s="76"/>
      <c r="M617" s="76"/>
      <c r="N617" s="76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8"/>
      <c r="AB617" s="77"/>
      <c r="AC617" s="77"/>
      <c r="AD617" s="77"/>
      <c r="AE617" s="77"/>
      <c r="AF617" s="77"/>
      <c r="AG617" s="79"/>
    </row>
    <row r="618" spans="2:33" ht="15.6" x14ac:dyDescent="0.3">
      <c r="B618" s="88"/>
      <c r="C618" s="76"/>
      <c r="D618" s="88"/>
      <c r="E618" s="88"/>
      <c r="F618" s="76"/>
      <c r="G618" s="76"/>
      <c r="H618" s="76"/>
      <c r="I618" s="89"/>
      <c r="J618" s="89"/>
      <c r="K618" s="76"/>
      <c r="L618" s="76"/>
      <c r="M618" s="76"/>
      <c r="N618" s="76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8"/>
      <c r="AB618" s="77"/>
      <c r="AC618" s="77"/>
      <c r="AD618" s="77"/>
      <c r="AE618" s="77"/>
      <c r="AF618" s="77"/>
      <c r="AG618" s="79"/>
    </row>
    <row r="619" spans="2:33" ht="15.6" x14ac:dyDescent="0.3">
      <c r="B619" s="88"/>
      <c r="C619" s="76"/>
      <c r="D619" s="88"/>
      <c r="E619" s="88"/>
      <c r="F619" s="76"/>
      <c r="G619" s="76"/>
      <c r="H619" s="76"/>
      <c r="I619" s="89"/>
      <c r="J619" s="89"/>
      <c r="K619" s="76"/>
      <c r="L619" s="76"/>
      <c r="M619" s="76"/>
      <c r="N619" s="76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8"/>
      <c r="AB619" s="77"/>
      <c r="AC619" s="77"/>
      <c r="AD619" s="77"/>
      <c r="AE619" s="77"/>
      <c r="AF619" s="77"/>
      <c r="AG619" s="79"/>
    </row>
    <row r="620" spans="2:33" ht="15.6" x14ac:dyDescent="0.3">
      <c r="B620" s="88"/>
      <c r="C620" s="76"/>
      <c r="D620" s="88"/>
      <c r="E620" s="88"/>
      <c r="F620" s="76"/>
      <c r="G620" s="76"/>
      <c r="H620" s="76"/>
      <c r="I620" s="89"/>
      <c r="J620" s="89"/>
      <c r="K620" s="76"/>
      <c r="L620" s="76"/>
      <c r="M620" s="76"/>
      <c r="N620" s="76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8"/>
      <c r="AB620" s="77"/>
      <c r="AC620" s="77"/>
      <c r="AD620" s="77"/>
      <c r="AE620" s="77"/>
      <c r="AF620" s="77"/>
      <c r="AG620" s="79"/>
    </row>
    <row r="621" spans="2:33" ht="15.6" x14ac:dyDescent="0.3">
      <c r="B621" s="88"/>
      <c r="C621" s="76"/>
      <c r="D621" s="88"/>
      <c r="E621" s="88"/>
      <c r="F621" s="76"/>
      <c r="G621" s="76"/>
      <c r="H621" s="76"/>
      <c r="I621" s="89"/>
      <c r="J621" s="89"/>
      <c r="K621" s="76"/>
      <c r="L621" s="76"/>
      <c r="M621" s="76"/>
      <c r="N621" s="76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8"/>
      <c r="AB621" s="77"/>
      <c r="AC621" s="77"/>
      <c r="AD621" s="77"/>
      <c r="AE621" s="77"/>
      <c r="AF621" s="77"/>
      <c r="AG621" s="79"/>
    </row>
    <row r="622" spans="2:33" ht="15.6" x14ac:dyDescent="0.3">
      <c r="B622" s="88"/>
      <c r="C622" s="76"/>
      <c r="D622" s="88"/>
      <c r="E622" s="88"/>
      <c r="F622" s="76"/>
      <c r="G622" s="76"/>
      <c r="H622" s="76"/>
      <c r="I622" s="89"/>
      <c r="J622" s="89"/>
      <c r="K622" s="76"/>
      <c r="L622" s="76"/>
      <c r="M622" s="76"/>
      <c r="N622" s="76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8"/>
      <c r="AB622" s="77"/>
      <c r="AC622" s="77"/>
      <c r="AD622" s="77"/>
      <c r="AE622" s="77"/>
      <c r="AF622" s="77"/>
      <c r="AG622" s="79"/>
    </row>
    <row r="623" spans="2:33" ht="15.6" x14ac:dyDescent="0.3">
      <c r="B623" s="88"/>
      <c r="C623" s="76"/>
      <c r="D623" s="88"/>
      <c r="E623" s="88"/>
      <c r="F623" s="76"/>
      <c r="G623" s="76"/>
      <c r="H623" s="76"/>
      <c r="I623" s="89"/>
      <c r="J623" s="89"/>
      <c r="K623" s="76"/>
      <c r="L623" s="76"/>
      <c r="M623" s="76"/>
      <c r="N623" s="76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8"/>
      <c r="AB623" s="77"/>
      <c r="AC623" s="77"/>
      <c r="AD623" s="77"/>
      <c r="AE623" s="77"/>
      <c r="AF623" s="77"/>
      <c r="AG623" s="79"/>
    </row>
    <row r="624" spans="2:33" ht="15.6" x14ac:dyDescent="0.3">
      <c r="B624" s="88"/>
      <c r="C624" s="76"/>
      <c r="D624" s="88"/>
      <c r="E624" s="88"/>
      <c r="F624" s="76"/>
      <c r="G624" s="76"/>
      <c r="H624" s="76"/>
      <c r="I624" s="89"/>
      <c r="J624" s="89"/>
      <c r="K624" s="76"/>
      <c r="L624" s="76"/>
      <c r="M624" s="76"/>
      <c r="N624" s="76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8"/>
      <c r="AB624" s="77"/>
      <c r="AC624" s="77"/>
      <c r="AD624" s="77"/>
      <c r="AE624" s="77"/>
      <c r="AF624" s="77"/>
      <c r="AG624" s="79"/>
    </row>
    <row r="625" spans="2:33" ht="15.6" x14ac:dyDescent="0.3">
      <c r="B625" s="88"/>
      <c r="C625" s="76"/>
      <c r="D625" s="88"/>
      <c r="E625" s="88"/>
      <c r="F625" s="76"/>
      <c r="G625" s="76"/>
      <c r="H625" s="76"/>
      <c r="I625" s="89"/>
      <c r="J625" s="89"/>
      <c r="K625" s="76"/>
      <c r="L625" s="76"/>
      <c r="M625" s="76"/>
      <c r="N625" s="76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8"/>
      <c r="AB625" s="77"/>
      <c r="AC625" s="77"/>
      <c r="AD625" s="77"/>
      <c r="AE625" s="77"/>
      <c r="AF625" s="77"/>
      <c r="AG625" s="79"/>
    </row>
    <row r="626" spans="2:33" ht="15.6" x14ac:dyDescent="0.3">
      <c r="B626" s="88"/>
      <c r="C626" s="76"/>
      <c r="D626" s="88"/>
      <c r="E626" s="88"/>
      <c r="F626" s="76"/>
      <c r="G626" s="76"/>
      <c r="H626" s="76"/>
      <c r="I626" s="89"/>
      <c r="J626" s="89"/>
      <c r="K626" s="76"/>
      <c r="L626" s="76"/>
      <c r="M626" s="76"/>
      <c r="N626" s="76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8"/>
      <c r="AB626" s="77"/>
      <c r="AC626" s="77"/>
      <c r="AD626" s="77"/>
      <c r="AE626" s="77"/>
      <c r="AF626" s="77"/>
      <c r="AG626" s="79"/>
    </row>
    <row r="627" spans="2:33" ht="15.6" x14ac:dyDescent="0.3">
      <c r="B627" s="88"/>
      <c r="C627" s="76"/>
      <c r="D627" s="88"/>
      <c r="E627" s="88"/>
      <c r="F627" s="76"/>
      <c r="G627" s="76"/>
      <c r="H627" s="76"/>
      <c r="I627" s="89"/>
      <c r="J627" s="89"/>
      <c r="K627" s="76"/>
      <c r="L627" s="76"/>
      <c r="M627" s="76"/>
      <c r="N627" s="76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8"/>
      <c r="AB627" s="77"/>
      <c r="AC627" s="77"/>
      <c r="AD627" s="77"/>
      <c r="AE627" s="77"/>
      <c r="AF627" s="77"/>
      <c r="AG627" s="79"/>
    </row>
    <row r="628" spans="2:33" ht="15.6" x14ac:dyDescent="0.3">
      <c r="B628" s="88"/>
      <c r="C628" s="76"/>
      <c r="D628" s="88"/>
      <c r="E628" s="88"/>
      <c r="F628" s="76"/>
      <c r="G628" s="76"/>
      <c r="H628" s="76"/>
      <c r="I628" s="89"/>
      <c r="J628" s="89"/>
      <c r="K628" s="76"/>
      <c r="L628" s="76"/>
      <c r="M628" s="76"/>
      <c r="N628" s="76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8"/>
      <c r="AB628" s="77"/>
      <c r="AC628" s="77"/>
      <c r="AD628" s="77"/>
      <c r="AE628" s="77"/>
      <c r="AF628" s="77"/>
      <c r="AG628" s="79"/>
    </row>
    <row r="629" spans="2:33" ht="15.6" x14ac:dyDescent="0.3">
      <c r="B629" s="88"/>
      <c r="C629" s="76"/>
      <c r="D629" s="88"/>
      <c r="E629" s="88"/>
      <c r="F629" s="76"/>
      <c r="G629" s="76"/>
      <c r="H629" s="76"/>
      <c r="I629" s="89"/>
      <c r="J629" s="89"/>
      <c r="K629" s="76"/>
      <c r="L629" s="76"/>
      <c r="M629" s="76"/>
      <c r="N629" s="76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8"/>
      <c r="AB629" s="77"/>
      <c r="AC629" s="77"/>
      <c r="AD629" s="77"/>
      <c r="AE629" s="77"/>
      <c r="AF629" s="77"/>
      <c r="AG629" s="79"/>
    </row>
    <row r="630" spans="2:33" ht="15.6" x14ac:dyDescent="0.3">
      <c r="B630" s="88"/>
      <c r="C630" s="76"/>
      <c r="D630" s="88"/>
      <c r="E630" s="88"/>
      <c r="F630" s="76"/>
      <c r="G630" s="76"/>
      <c r="H630" s="76"/>
      <c r="I630" s="89"/>
      <c r="J630" s="89"/>
      <c r="K630" s="76"/>
      <c r="L630" s="76"/>
      <c r="M630" s="76"/>
      <c r="N630" s="76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8"/>
      <c r="AB630" s="77"/>
      <c r="AC630" s="77"/>
      <c r="AD630" s="77"/>
      <c r="AE630" s="77"/>
      <c r="AF630" s="77"/>
      <c r="AG630" s="79"/>
    </row>
    <row r="631" spans="2:33" ht="15.6" x14ac:dyDescent="0.3">
      <c r="B631" s="88"/>
      <c r="C631" s="76"/>
      <c r="D631" s="88"/>
      <c r="E631" s="88"/>
      <c r="F631" s="76"/>
      <c r="G631" s="76"/>
      <c r="H631" s="76"/>
      <c r="I631" s="89"/>
      <c r="J631" s="89"/>
      <c r="K631" s="76"/>
      <c r="L631" s="76"/>
      <c r="M631" s="76"/>
      <c r="N631" s="76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8"/>
      <c r="AB631" s="77"/>
      <c r="AC631" s="77"/>
      <c r="AD631" s="77"/>
      <c r="AE631" s="77"/>
      <c r="AF631" s="77"/>
      <c r="AG631" s="79"/>
    </row>
    <row r="632" spans="2:33" ht="15.6" x14ac:dyDescent="0.3">
      <c r="B632" s="88"/>
      <c r="C632" s="76"/>
      <c r="D632" s="88"/>
      <c r="E632" s="88"/>
      <c r="F632" s="76"/>
      <c r="G632" s="76"/>
      <c r="H632" s="76"/>
      <c r="I632" s="89"/>
      <c r="J632" s="89"/>
      <c r="K632" s="76"/>
      <c r="L632" s="76"/>
      <c r="M632" s="76"/>
      <c r="N632" s="76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8"/>
      <c r="AB632" s="77"/>
      <c r="AC632" s="77"/>
      <c r="AD632" s="77"/>
      <c r="AE632" s="77"/>
      <c r="AF632" s="77"/>
      <c r="AG632" s="79"/>
    </row>
    <row r="633" spans="2:33" ht="15.6" x14ac:dyDescent="0.3">
      <c r="B633" s="88"/>
      <c r="C633" s="76"/>
      <c r="D633" s="88"/>
      <c r="E633" s="88"/>
      <c r="F633" s="76"/>
      <c r="G633" s="76"/>
      <c r="H633" s="76"/>
      <c r="I633" s="89"/>
      <c r="J633" s="89"/>
      <c r="K633" s="76"/>
      <c r="L633" s="76"/>
      <c r="M633" s="76"/>
      <c r="N633" s="76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8"/>
      <c r="AB633" s="77"/>
      <c r="AC633" s="77"/>
      <c r="AD633" s="77"/>
      <c r="AE633" s="77"/>
      <c r="AF633" s="77"/>
      <c r="AG633" s="79"/>
    </row>
    <row r="634" spans="2:33" ht="15.6" x14ac:dyDescent="0.3">
      <c r="B634" s="88"/>
      <c r="C634" s="76"/>
      <c r="D634" s="88"/>
      <c r="E634" s="88"/>
      <c r="F634" s="76"/>
      <c r="G634" s="76"/>
      <c r="H634" s="76"/>
      <c r="I634" s="89"/>
      <c r="J634" s="89"/>
      <c r="K634" s="76"/>
      <c r="L634" s="76"/>
      <c r="M634" s="76"/>
      <c r="N634" s="76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8"/>
      <c r="AB634" s="77"/>
      <c r="AC634" s="77"/>
      <c r="AD634" s="77"/>
      <c r="AE634" s="77"/>
      <c r="AF634" s="77"/>
      <c r="AG634" s="79"/>
    </row>
    <row r="635" spans="2:33" ht="15.6" x14ac:dyDescent="0.3">
      <c r="B635" s="88"/>
      <c r="C635" s="76"/>
      <c r="D635" s="88"/>
      <c r="E635" s="88"/>
      <c r="F635" s="76"/>
      <c r="G635" s="76"/>
      <c r="H635" s="76"/>
      <c r="I635" s="89"/>
      <c r="J635" s="89"/>
      <c r="K635" s="76"/>
      <c r="L635" s="76"/>
      <c r="M635" s="76"/>
      <c r="N635" s="76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8"/>
      <c r="AB635" s="77"/>
      <c r="AC635" s="77"/>
      <c r="AD635" s="77"/>
      <c r="AE635" s="77"/>
      <c r="AF635" s="77"/>
      <c r="AG635" s="79"/>
    </row>
    <row r="636" spans="2:33" ht="15.6" x14ac:dyDescent="0.3">
      <c r="B636" s="88"/>
      <c r="C636" s="76"/>
      <c r="D636" s="88"/>
      <c r="E636" s="88"/>
      <c r="F636" s="76"/>
      <c r="G636" s="76"/>
      <c r="H636" s="76"/>
      <c r="I636" s="89"/>
      <c r="J636" s="89"/>
      <c r="K636" s="76"/>
      <c r="L636" s="76"/>
      <c r="M636" s="76"/>
      <c r="N636" s="76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8"/>
      <c r="AB636" s="77"/>
      <c r="AC636" s="77"/>
      <c r="AD636" s="77"/>
      <c r="AE636" s="77"/>
      <c r="AF636" s="77"/>
      <c r="AG636" s="79"/>
    </row>
    <row r="637" spans="2:33" ht="15.6" x14ac:dyDescent="0.3">
      <c r="B637" s="88"/>
      <c r="C637" s="76"/>
      <c r="D637" s="88"/>
      <c r="E637" s="88"/>
      <c r="F637" s="76"/>
      <c r="G637" s="76"/>
      <c r="H637" s="76"/>
      <c r="I637" s="89"/>
      <c r="J637" s="89"/>
      <c r="K637" s="76"/>
      <c r="L637" s="76"/>
      <c r="M637" s="76"/>
      <c r="N637" s="76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8"/>
      <c r="AB637" s="77"/>
      <c r="AC637" s="77"/>
      <c r="AD637" s="77"/>
      <c r="AE637" s="77"/>
      <c r="AF637" s="77"/>
      <c r="AG637" s="79"/>
    </row>
    <row r="638" spans="2:33" ht="15.6" x14ac:dyDescent="0.3">
      <c r="B638" s="88"/>
      <c r="C638" s="76"/>
      <c r="D638" s="88"/>
      <c r="E638" s="88"/>
      <c r="F638" s="76"/>
      <c r="G638" s="76"/>
      <c r="H638" s="76"/>
      <c r="I638" s="89"/>
      <c r="J638" s="89"/>
      <c r="K638" s="76"/>
      <c r="L638" s="76"/>
      <c r="M638" s="76"/>
      <c r="N638" s="76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8"/>
      <c r="AB638" s="77"/>
      <c r="AC638" s="77"/>
      <c r="AD638" s="77"/>
      <c r="AE638" s="77"/>
      <c r="AF638" s="77"/>
      <c r="AG638" s="79"/>
    </row>
    <row r="639" spans="2:33" ht="15.6" x14ac:dyDescent="0.3">
      <c r="B639" s="88"/>
      <c r="C639" s="76"/>
      <c r="D639" s="88"/>
      <c r="E639" s="88"/>
      <c r="F639" s="76"/>
      <c r="G639" s="76"/>
      <c r="H639" s="76"/>
      <c r="I639" s="89"/>
      <c r="J639" s="89"/>
      <c r="K639" s="76"/>
      <c r="L639" s="76"/>
      <c r="M639" s="76"/>
      <c r="N639" s="76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8"/>
      <c r="AB639" s="77"/>
      <c r="AC639" s="77"/>
      <c r="AD639" s="77"/>
      <c r="AE639" s="77"/>
      <c r="AF639" s="77"/>
      <c r="AG639" s="79"/>
    </row>
    <row r="640" spans="2:33" ht="15.6" x14ac:dyDescent="0.3">
      <c r="B640" s="88"/>
      <c r="C640" s="76"/>
      <c r="D640" s="88"/>
      <c r="E640" s="88"/>
      <c r="F640" s="76"/>
      <c r="G640" s="76"/>
      <c r="H640" s="76"/>
      <c r="I640" s="89"/>
      <c r="J640" s="89"/>
      <c r="K640" s="76"/>
      <c r="L640" s="76"/>
      <c r="M640" s="76"/>
      <c r="N640" s="76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8"/>
      <c r="AB640" s="77"/>
      <c r="AC640" s="77"/>
      <c r="AD640" s="77"/>
      <c r="AE640" s="77"/>
      <c r="AF640" s="77"/>
      <c r="AG640" s="79"/>
    </row>
    <row r="641" spans="2:33" ht="15.6" x14ac:dyDescent="0.3">
      <c r="B641" s="88"/>
      <c r="C641" s="76"/>
      <c r="D641" s="88"/>
      <c r="E641" s="88"/>
      <c r="F641" s="76"/>
      <c r="G641" s="76"/>
      <c r="H641" s="76"/>
      <c r="I641" s="89"/>
      <c r="J641" s="89"/>
      <c r="K641" s="76"/>
      <c r="L641" s="76"/>
      <c r="M641" s="76"/>
      <c r="N641" s="76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8"/>
      <c r="AB641" s="77"/>
      <c r="AC641" s="77"/>
      <c r="AD641" s="77"/>
      <c r="AE641" s="77"/>
      <c r="AF641" s="77"/>
      <c r="AG641" s="79"/>
    </row>
    <row r="642" spans="2:33" ht="15.6" x14ac:dyDescent="0.3">
      <c r="B642" s="88"/>
      <c r="C642" s="76"/>
      <c r="D642" s="88"/>
      <c r="E642" s="88"/>
      <c r="F642" s="76"/>
      <c r="G642" s="76"/>
      <c r="H642" s="76"/>
      <c r="I642" s="89"/>
      <c r="J642" s="89"/>
      <c r="K642" s="76"/>
      <c r="L642" s="76"/>
      <c r="M642" s="76"/>
      <c r="N642" s="76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8"/>
      <c r="AB642" s="77"/>
      <c r="AC642" s="77"/>
      <c r="AD642" s="77"/>
      <c r="AE642" s="77"/>
      <c r="AF642" s="77"/>
      <c r="AG642" s="79"/>
    </row>
    <row r="643" spans="2:33" ht="15.6" x14ac:dyDescent="0.3">
      <c r="B643" s="88"/>
      <c r="C643" s="76"/>
      <c r="D643" s="88"/>
      <c r="E643" s="88"/>
      <c r="F643" s="76"/>
      <c r="G643" s="76"/>
      <c r="H643" s="76"/>
      <c r="I643" s="89"/>
      <c r="J643" s="89"/>
      <c r="K643" s="76"/>
      <c r="L643" s="76"/>
      <c r="M643" s="76"/>
      <c r="N643" s="76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8"/>
      <c r="AB643" s="77"/>
      <c r="AC643" s="77"/>
      <c r="AD643" s="77"/>
      <c r="AE643" s="77"/>
      <c r="AF643" s="77"/>
      <c r="AG643" s="79"/>
    </row>
    <row r="644" spans="2:33" ht="15.6" x14ac:dyDescent="0.3">
      <c r="B644" s="88"/>
      <c r="C644" s="76"/>
      <c r="D644" s="88"/>
      <c r="E644" s="88"/>
      <c r="F644" s="76"/>
      <c r="G644" s="76"/>
      <c r="H644" s="76"/>
      <c r="I644" s="89"/>
      <c r="J644" s="89"/>
      <c r="K644" s="76"/>
      <c r="L644" s="76"/>
      <c r="M644" s="76"/>
      <c r="N644" s="76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8"/>
      <c r="AB644" s="77"/>
      <c r="AC644" s="77"/>
      <c r="AD644" s="77"/>
      <c r="AE644" s="77"/>
      <c r="AF644" s="77"/>
      <c r="AG644" s="79"/>
    </row>
    <row r="645" spans="2:33" ht="15.6" x14ac:dyDescent="0.3">
      <c r="B645" s="88"/>
      <c r="C645" s="76"/>
      <c r="D645" s="88"/>
      <c r="E645" s="88"/>
      <c r="F645" s="76"/>
      <c r="G645" s="76"/>
      <c r="H645" s="76"/>
      <c r="I645" s="89"/>
      <c r="J645" s="89"/>
      <c r="K645" s="76"/>
      <c r="L645" s="76"/>
      <c r="M645" s="76"/>
      <c r="N645" s="76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8"/>
      <c r="AB645" s="77"/>
      <c r="AC645" s="77"/>
      <c r="AD645" s="77"/>
      <c r="AE645" s="77"/>
      <c r="AF645" s="77"/>
      <c r="AG645" s="79"/>
    </row>
    <row r="646" spans="2:33" ht="15.6" x14ac:dyDescent="0.3">
      <c r="B646" s="88"/>
      <c r="C646" s="76"/>
      <c r="D646" s="88"/>
      <c r="E646" s="88"/>
      <c r="F646" s="76"/>
      <c r="G646" s="76"/>
      <c r="H646" s="76"/>
      <c r="I646" s="89"/>
      <c r="J646" s="89"/>
      <c r="K646" s="76"/>
      <c r="L646" s="76"/>
      <c r="M646" s="76"/>
      <c r="N646" s="76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8"/>
      <c r="AB646" s="77"/>
      <c r="AC646" s="77"/>
      <c r="AD646" s="77"/>
      <c r="AE646" s="77"/>
      <c r="AF646" s="77"/>
      <c r="AG646" s="79"/>
    </row>
    <row r="647" spans="2:33" ht="15.6" x14ac:dyDescent="0.3">
      <c r="B647" s="88"/>
      <c r="C647" s="76"/>
      <c r="D647" s="88"/>
      <c r="E647" s="88"/>
      <c r="F647" s="76"/>
      <c r="G647" s="76"/>
      <c r="H647" s="76"/>
      <c r="I647" s="89"/>
      <c r="J647" s="89"/>
      <c r="K647" s="76"/>
      <c r="L647" s="76"/>
      <c r="M647" s="76"/>
      <c r="N647" s="76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8"/>
      <c r="AB647" s="77"/>
      <c r="AC647" s="77"/>
      <c r="AD647" s="77"/>
      <c r="AE647" s="77"/>
      <c r="AF647" s="77"/>
      <c r="AG647" s="79"/>
    </row>
    <row r="648" spans="2:33" ht="15.6" x14ac:dyDescent="0.3">
      <c r="B648" s="88"/>
      <c r="C648" s="76"/>
      <c r="D648" s="88"/>
      <c r="E648" s="88"/>
      <c r="F648" s="76"/>
      <c r="G648" s="76"/>
      <c r="H648" s="76"/>
      <c r="I648" s="89"/>
      <c r="J648" s="89"/>
      <c r="K648" s="76"/>
      <c r="L648" s="76"/>
      <c r="M648" s="76"/>
      <c r="N648" s="76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8"/>
      <c r="AB648" s="77"/>
      <c r="AC648" s="77"/>
      <c r="AD648" s="77"/>
      <c r="AE648" s="77"/>
      <c r="AF648" s="77"/>
      <c r="AG648" s="79"/>
    </row>
    <row r="649" spans="2:33" ht="15.6" x14ac:dyDescent="0.3">
      <c r="B649" s="88"/>
      <c r="C649" s="76"/>
      <c r="D649" s="88"/>
      <c r="E649" s="88"/>
      <c r="F649" s="76"/>
      <c r="G649" s="76"/>
      <c r="H649" s="76"/>
      <c r="I649" s="89"/>
      <c r="J649" s="89"/>
      <c r="K649" s="76"/>
      <c r="L649" s="76"/>
      <c r="M649" s="76"/>
      <c r="N649" s="76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8"/>
      <c r="AB649" s="77"/>
      <c r="AC649" s="77"/>
      <c r="AD649" s="77"/>
      <c r="AE649" s="77"/>
      <c r="AF649" s="77"/>
      <c r="AG649" s="79"/>
    </row>
  </sheetData>
  <autoFilter ref="B2:AJ402" xr:uid="{00000000-0009-0000-0000-000002000000}"/>
  <mergeCells count="4">
    <mergeCell ref="B1:O1"/>
    <mergeCell ref="AH1:AJ1"/>
    <mergeCell ref="Q1:X1"/>
    <mergeCell ref="Z1:AE1"/>
  </mergeCells>
  <dataValidations disablePrompts="1" count="5">
    <dataValidation type="list" allowBlank="1" showInputMessage="1" showErrorMessage="1" sqref="I3:I52" xr:uid="{00000000-0002-0000-0200-000000000000}">
      <formula1>"Jan, Feb, Mar, Apr, May, Jun, Jul, Aug, Sep, Oct, Nov, Dec"</formula1>
    </dataValidation>
    <dataValidation type="list" allowBlank="1" showInputMessage="1" showErrorMessage="1" sqref="H3:H22" xr:uid="{00000000-0002-0000-0200-000001000000}">
      <formula1>"M, F"</formula1>
    </dataValidation>
    <dataValidation type="list" allowBlank="1" showInputMessage="1" showErrorMessage="1" sqref="H23:H52" xr:uid="{00000000-0002-0000-0200-000002000000}">
      <formula1>"Male, Female"</formula1>
    </dataValidation>
    <dataValidation type="list" allowBlank="1" showInputMessage="1" showErrorMessage="1" sqref="G3:G52" xr:uid="{00000000-0002-0000-0200-000003000000}">
      <formula1>"Metro, Non-Metro"</formula1>
    </dataValidation>
    <dataValidation type="list" allowBlank="1" showInputMessage="1" showErrorMessage="1" sqref="J3:J52" xr:uid="{00000000-0002-0000-0200-000004000000}">
      <formula1>"2020,2021,2022,2023,2024,2025,2026,2027,2028,2029,2030"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ommandButton1">
          <controlPr defaultSize="0" autoLine="0" r:id="rId5">
            <anchor moveWithCells="1">
              <from>
                <xdr:col>1</xdr:col>
                <xdr:colOff>137160</xdr:colOff>
                <xdr:row>0</xdr:row>
                <xdr:rowOff>60960</xdr:rowOff>
              </from>
              <to>
                <xdr:col>2</xdr:col>
                <xdr:colOff>937260</xdr:colOff>
                <xdr:row>1</xdr:row>
                <xdr:rowOff>213360</xdr:rowOff>
              </to>
            </anchor>
          </controlPr>
        </control>
      </mc:Choice>
      <mc:Fallback>
        <control shapeId="1126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1:H36"/>
  <sheetViews>
    <sheetView showGridLines="0" topLeftCell="A10" zoomScale="90" zoomScaleNormal="90" zoomScaleSheetLayoutView="90" workbookViewId="0">
      <selection activeCell="D29" sqref="D29:H30"/>
    </sheetView>
  </sheetViews>
  <sheetFormatPr defaultColWidth="9.109375" defaultRowHeight="14.4" x14ac:dyDescent="0.3"/>
  <cols>
    <col min="1" max="1" width="3.109375" style="1" customWidth="1"/>
    <col min="2" max="2" width="14.109375" style="1" bestFit="1" customWidth="1"/>
    <col min="3" max="3" width="13.5546875" style="1" bestFit="1" customWidth="1"/>
    <col min="4" max="4" width="13.33203125" style="1" bestFit="1" customWidth="1"/>
    <col min="5" max="5" width="10" style="1" customWidth="1"/>
    <col min="6" max="6" width="12.88671875" style="1" customWidth="1"/>
    <col min="7" max="7" width="10.5546875" style="1" customWidth="1"/>
    <col min="8" max="8" width="13.33203125" style="1" customWidth="1"/>
    <col min="9" max="9" width="3.109375" style="1" customWidth="1"/>
    <col min="10" max="16384" width="9.109375" style="1"/>
  </cols>
  <sheetData>
    <row r="1" spans="2:8" ht="15.75" customHeight="1" x14ac:dyDescent="0.3"/>
    <row r="2" spans="2:8" ht="45" x14ac:dyDescent="0.3">
      <c r="B2" s="162" t="str">
        <f>'Salary Calculations'!$D$3</f>
        <v>Company Name</v>
      </c>
      <c r="C2" s="163"/>
      <c r="D2" s="163"/>
      <c r="E2" s="163"/>
      <c r="F2" s="163"/>
      <c r="G2" s="163"/>
      <c r="H2" s="164"/>
    </row>
    <row r="3" spans="2:8" ht="25.8" x14ac:dyDescent="0.3">
      <c r="B3" s="165" t="str">
        <f>'Salary Calculations'!$D$4</f>
        <v>Company Address</v>
      </c>
      <c r="C3" s="166"/>
      <c r="D3" s="166"/>
      <c r="E3" s="166"/>
      <c r="F3" s="166"/>
      <c r="G3" s="166"/>
      <c r="H3" s="167"/>
    </row>
    <row r="4" spans="2:8" ht="19.8" x14ac:dyDescent="0.3">
      <c r="B4" s="152" t="s">
        <v>150</v>
      </c>
      <c r="C4" s="153"/>
      <c r="D4" s="153"/>
      <c r="E4" s="153"/>
      <c r="F4" s="153"/>
      <c r="G4" s="153"/>
      <c r="H4" s="154"/>
    </row>
    <row r="5" spans="2:8" x14ac:dyDescent="0.3">
      <c r="B5" s="18" t="s">
        <v>262</v>
      </c>
      <c r="C5" s="139" t="s">
        <v>31</v>
      </c>
      <c r="D5" s="161"/>
      <c r="E5" s="140"/>
      <c r="F5" s="18" t="s">
        <v>66</v>
      </c>
      <c r="G5" s="139" t="str">
        <f>VLOOKUP(C5, 'Salary Calculations'!$C$7:$AJ$56, 3, FALSE)</f>
        <v>Developer</v>
      </c>
      <c r="H5" s="140"/>
    </row>
    <row r="6" spans="2:8" x14ac:dyDescent="0.3">
      <c r="B6" s="19" t="s">
        <v>261</v>
      </c>
      <c r="C6" s="141" t="str">
        <f>VLOOKUP(C5, 'Salary Calculations'!$C$7:$AJ$56, 2, FALSE)</f>
        <v>Astha Puri</v>
      </c>
      <c r="D6" s="157"/>
      <c r="E6" s="142"/>
      <c r="F6" s="19" t="s">
        <v>284</v>
      </c>
      <c r="G6" s="141" t="str">
        <f>VLOOKUP(C5, 'Salary Calculations'!$C$7:$AJ$56, 4, FALSE)</f>
        <v>A</v>
      </c>
      <c r="H6" s="142"/>
    </row>
    <row r="7" spans="2:8" x14ac:dyDescent="0.3">
      <c r="B7" s="23"/>
      <c r="C7" s="17"/>
      <c r="D7" s="17"/>
      <c r="E7" s="44"/>
      <c r="F7" s="23"/>
      <c r="G7" s="17"/>
      <c r="H7" s="44"/>
    </row>
    <row r="8" spans="2:8" ht="19.8" x14ac:dyDescent="0.3">
      <c r="B8" s="158" t="s">
        <v>256</v>
      </c>
      <c r="C8" s="159"/>
      <c r="D8" s="159"/>
      <c r="E8" s="160"/>
      <c r="F8" s="46" t="s">
        <v>288</v>
      </c>
      <c r="G8" s="34"/>
      <c r="H8" s="35"/>
    </row>
    <row r="9" spans="2:8" x14ac:dyDescent="0.3">
      <c r="B9" s="18" t="s">
        <v>87</v>
      </c>
      <c r="C9" s="25">
        <f>VLOOKUP(C5, 'Salary Calculations'!$C$7:$AJ$56, 9, FALSE)</f>
        <v>26</v>
      </c>
      <c r="D9" s="32"/>
      <c r="E9" s="28"/>
      <c r="F9" s="18" t="s">
        <v>260</v>
      </c>
      <c r="G9" s="139" t="str">
        <f>VLOOKUP(C5, 'Salary Calculations'!$C$7:$AJ$56, 32, FALSE)</f>
        <v>ABC Bank 1</v>
      </c>
      <c r="H9" s="140"/>
    </row>
    <row r="10" spans="2:8" x14ac:dyDescent="0.3">
      <c r="B10" s="24" t="s">
        <v>285</v>
      </c>
      <c r="C10" s="26">
        <f>VLOOKUP(C5, 'Salary Calculations'!$C$7:$AJ$56, 10, FALSE)</f>
        <v>2</v>
      </c>
      <c r="D10" s="24" t="s">
        <v>287</v>
      </c>
      <c r="E10" s="30">
        <f>VLOOKUP(C5, 'Salary Calculations'!$C$7:$AJ$56, 12, FALSE)</f>
        <v>26</v>
      </c>
      <c r="F10" s="24" t="s">
        <v>154</v>
      </c>
      <c r="G10" s="155">
        <f>VLOOKUP(C5, 'Salary Calculations'!$C$7:$AJ$56, 34, FALSE)</f>
        <v>10000000001</v>
      </c>
      <c r="H10" s="156"/>
    </row>
    <row r="11" spans="2:8" x14ac:dyDescent="0.3">
      <c r="B11" s="19" t="s">
        <v>286</v>
      </c>
      <c r="C11" s="27">
        <f>VLOOKUP(C5, 'Salary Calculations'!$C$7:$AJ$56,11, FALSE)</f>
        <v>0</v>
      </c>
      <c r="D11" s="33"/>
      <c r="E11" s="31"/>
      <c r="F11" s="19" t="s">
        <v>289</v>
      </c>
      <c r="G11" s="141" t="str">
        <f>VLOOKUP(C5, 'Salary Calculations'!$C$7:$AJ$56, 33, FALSE)</f>
        <v>DEF Branch 1</v>
      </c>
      <c r="H11" s="142"/>
    </row>
    <row r="12" spans="2:8" x14ac:dyDescent="0.3">
      <c r="B12" s="23"/>
      <c r="C12" s="17"/>
      <c r="D12" s="50"/>
      <c r="E12" s="50"/>
      <c r="F12" s="51"/>
      <c r="G12" s="17"/>
      <c r="H12" s="44"/>
    </row>
    <row r="13" spans="2:8" ht="19.8" x14ac:dyDescent="0.3">
      <c r="B13" s="152" t="s">
        <v>257</v>
      </c>
      <c r="C13" s="153"/>
      <c r="D13" s="153"/>
      <c r="E13" s="153"/>
      <c r="F13" s="153"/>
      <c r="G13" s="153"/>
      <c r="H13" s="154"/>
    </row>
    <row r="14" spans="2:8" ht="19.8" x14ac:dyDescent="0.3">
      <c r="B14" s="47"/>
      <c r="C14" s="48"/>
      <c r="D14" s="48"/>
      <c r="E14" s="48"/>
      <c r="F14" s="48"/>
      <c r="G14" s="48"/>
      <c r="H14" s="49"/>
    </row>
    <row r="15" spans="2:8" x14ac:dyDescent="0.3">
      <c r="B15" s="149" t="s">
        <v>258</v>
      </c>
      <c r="C15" s="149"/>
      <c r="D15" s="149"/>
      <c r="E15" s="36">
        <f>VLOOKUP(C5, 'Salary Calculations'!$C$7:$AJ$56, 13, FALSE)</f>
        <v>25000</v>
      </c>
      <c r="F15" s="149" t="s">
        <v>5</v>
      </c>
      <c r="G15" s="149"/>
      <c r="H15" s="37"/>
    </row>
    <row r="16" spans="2:8" x14ac:dyDescent="0.3">
      <c r="B16" s="143"/>
      <c r="C16" s="144"/>
      <c r="D16" s="145"/>
      <c r="E16" s="36"/>
      <c r="F16" s="148" t="s">
        <v>90</v>
      </c>
      <c r="G16" s="148"/>
      <c r="H16" s="38">
        <f>VLOOKUP(C5, 'Salary Calculations'!$C$7:$AJ$56, 24, FALSE)</f>
        <v>200</v>
      </c>
    </row>
    <row r="17" spans="2:8" x14ac:dyDescent="0.3">
      <c r="B17" s="149" t="s">
        <v>3</v>
      </c>
      <c r="C17" s="149"/>
      <c r="D17" s="149"/>
      <c r="E17" s="36">
        <f>VLOOKUP(C5, 'Salary Calculations'!$C$7:$AJ$56,14, FALSE)</f>
        <v>15000</v>
      </c>
      <c r="F17" s="148" t="s">
        <v>89</v>
      </c>
      <c r="G17" s="148"/>
      <c r="H17" s="38">
        <f>VLOOKUP(C5, 'Salary Calculations'!$C$7:$AJ$56, 26, FALSE)</f>
        <v>0</v>
      </c>
    </row>
    <row r="18" spans="2:8" x14ac:dyDescent="0.3">
      <c r="B18" s="143"/>
      <c r="C18" s="144"/>
      <c r="D18" s="145"/>
      <c r="E18" s="36"/>
      <c r="F18" s="150" t="s">
        <v>305</v>
      </c>
      <c r="G18" s="151"/>
      <c r="H18" s="38">
        <f>VLOOKUP(C5, 'Salary Calculations'!$C$7:$AJ$56, 27, FALSE)</f>
        <v>3000</v>
      </c>
    </row>
    <row r="19" spans="2:8" x14ac:dyDescent="0.3">
      <c r="B19" s="149" t="s">
        <v>4</v>
      </c>
      <c r="C19" s="149"/>
      <c r="D19" s="149"/>
      <c r="E19" s="38"/>
      <c r="F19" s="148" t="s">
        <v>326</v>
      </c>
      <c r="G19" s="148"/>
      <c r="H19" s="38">
        <f>VLOOKUP(C5, 'Salary Calculations'!$C$7:$AJ$56, 28, FALSE)</f>
        <v>5000</v>
      </c>
    </row>
    <row r="20" spans="2:8" x14ac:dyDescent="0.3">
      <c r="B20" s="148" t="s">
        <v>76</v>
      </c>
      <c r="C20" s="148"/>
      <c r="D20" s="148"/>
      <c r="E20" s="38">
        <f>VLOOKUP(C5, 'Salary Calculations'!$C$7:$AJ$56, 15, FALSE)</f>
        <v>7500</v>
      </c>
      <c r="F20" s="148"/>
      <c r="G20" s="148"/>
      <c r="H20" s="38"/>
    </row>
    <row r="21" spans="2:8" x14ac:dyDescent="0.3">
      <c r="B21" s="148" t="s">
        <v>80</v>
      </c>
      <c r="C21" s="148"/>
      <c r="D21" s="148"/>
      <c r="E21" s="38">
        <f>VLOOKUP(C5, 'Salary Calculations'!$C$7:$AJ$56, 17, FALSE)</f>
        <v>1200</v>
      </c>
      <c r="F21" s="134" t="s">
        <v>94</v>
      </c>
      <c r="G21" s="134"/>
      <c r="H21" s="36">
        <f>SUM(H16:H20)</f>
        <v>8200</v>
      </c>
    </row>
    <row r="22" spans="2:8" x14ac:dyDescent="0.3">
      <c r="B22" s="148" t="s">
        <v>81</v>
      </c>
      <c r="C22" s="148"/>
      <c r="D22" s="148"/>
      <c r="E22" s="38">
        <f>VLOOKUP(C5, 'Salary Calculations'!$C$7:$AJ$56, 19, FALSE)</f>
        <v>1250</v>
      </c>
      <c r="F22" s="149" t="s">
        <v>259</v>
      </c>
      <c r="G22" s="149"/>
      <c r="H22" s="37"/>
    </row>
    <row r="23" spans="2:8" x14ac:dyDescent="0.3">
      <c r="B23" s="148" t="s">
        <v>82</v>
      </c>
      <c r="C23" s="148"/>
      <c r="D23" s="148"/>
      <c r="E23" s="38">
        <f>VLOOKUP(C5, 'Salary Calculations'!$C$7:$AJ$56, 21, FALSE)</f>
        <v>50</v>
      </c>
      <c r="F23" s="148" t="s">
        <v>93</v>
      </c>
      <c r="G23" s="148"/>
      <c r="H23" s="36">
        <f>VLOOKUP(C5, 'Salary Calculations'!$C$7:$AJ$56, 30, FALSE)</f>
        <v>500</v>
      </c>
    </row>
    <row r="24" spans="2:8" x14ac:dyDescent="0.3">
      <c r="B24" s="143"/>
      <c r="C24" s="144"/>
      <c r="D24" s="145"/>
      <c r="E24" s="38"/>
      <c r="F24" s="143"/>
      <c r="G24" s="145"/>
      <c r="H24" s="36"/>
    </row>
    <row r="25" spans="2:8" x14ac:dyDescent="0.3">
      <c r="B25" s="134" t="s">
        <v>292</v>
      </c>
      <c r="C25" s="134"/>
      <c r="D25" s="134"/>
      <c r="E25" s="36">
        <f>SUM(E20:E23)</f>
        <v>10000</v>
      </c>
      <c r="F25" s="146"/>
      <c r="G25" s="147"/>
      <c r="H25" s="37"/>
    </row>
    <row r="26" spans="2:8" x14ac:dyDescent="0.3">
      <c r="B26" s="143"/>
      <c r="C26" s="144"/>
      <c r="D26" s="145"/>
      <c r="E26" s="36"/>
      <c r="F26" s="146"/>
      <c r="G26" s="147"/>
      <c r="H26" s="37"/>
    </row>
    <row r="27" spans="2:8" x14ac:dyDescent="0.3">
      <c r="B27" s="134" t="s">
        <v>86</v>
      </c>
      <c r="C27" s="134"/>
      <c r="D27" s="134"/>
      <c r="E27" s="36">
        <f>VLOOKUP(C5,'Salary Calculations'!$C$7:$AJ$56,23,FALSE)</f>
        <v>25000</v>
      </c>
      <c r="F27" s="134" t="s">
        <v>290</v>
      </c>
      <c r="G27" s="134"/>
      <c r="H27" s="36">
        <f>E27-H21+H23</f>
        <v>17300</v>
      </c>
    </row>
    <row r="28" spans="2:8" x14ac:dyDescent="0.3">
      <c r="B28" s="23"/>
      <c r="C28" s="51"/>
      <c r="D28" s="51"/>
      <c r="E28" s="53"/>
      <c r="F28" s="51"/>
      <c r="G28" s="51"/>
      <c r="H28" s="54"/>
    </row>
    <row r="29" spans="2:8" ht="15" customHeight="1" x14ac:dyDescent="0.3">
      <c r="B29" s="133" t="s">
        <v>293</v>
      </c>
      <c r="C29" s="133"/>
      <c r="D29" s="135" t="e">
        <f ca="1">SpellNumberMOG(H27, "INR")</f>
        <v>#NAME?</v>
      </c>
      <c r="E29" s="135"/>
      <c r="F29" s="135"/>
      <c r="G29" s="135"/>
      <c r="H29" s="135"/>
    </row>
    <row r="30" spans="2:8" x14ac:dyDescent="0.3">
      <c r="B30" s="134"/>
      <c r="C30" s="134"/>
      <c r="D30" s="136"/>
      <c r="E30" s="136"/>
      <c r="F30" s="136"/>
      <c r="G30" s="136"/>
      <c r="H30" s="136"/>
    </row>
    <row r="31" spans="2:8" x14ac:dyDescent="0.3">
      <c r="B31" s="22"/>
      <c r="C31" s="39"/>
      <c r="D31" s="52"/>
      <c r="E31" s="52"/>
      <c r="F31" s="52"/>
      <c r="G31" s="52"/>
      <c r="H31" s="45"/>
    </row>
    <row r="32" spans="2:8" x14ac:dyDescent="0.3">
      <c r="B32" s="41"/>
      <c r="D32" s="7"/>
      <c r="E32" s="7"/>
      <c r="F32" s="7"/>
      <c r="G32" s="7"/>
      <c r="H32" s="30"/>
    </row>
    <row r="33" spans="2:8" x14ac:dyDescent="0.3">
      <c r="B33" s="29" t="s">
        <v>148</v>
      </c>
      <c r="C33" s="137"/>
      <c r="D33" s="39" t="s">
        <v>149</v>
      </c>
      <c r="E33" s="139"/>
      <c r="F33" s="140"/>
      <c r="H33" s="40"/>
    </row>
    <row r="34" spans="2:8" x14ac:dyDescent="0.3">
      <c r="B34" s="41"/>
      <c r="C34" s="138"/>
      <c r="E34" s="141"/>
      <c r="F34" s="142"/>
      <c r="H34" s="40"/>
    </row>
    <row r="35" spans="2:8" x14ac:dyDescent="0.3">
      <c r="B35" s="41"/>
      <c r="C35" s="42" t="s">
        <v>52</v>
      </c>
      <c r="E35" s="132" t="s">
        <v>53</v>
      </c>
      <c r="F35" s="132"/>
      <c r="H35" s="40"/>
    </row>
    <row r="36" spans="2:8" x14ac:dyDescent="0.3">
      <c r="B36" s="20"/>
      <c r="C36" s="21"/>
      <c r="D36" s="21"/>
      <c r="E36" s="21"/>
      <c r="F36" s="21"/>
      <c r="G36" s="21"/>
      <c r="H36" s="43"/>
    </row>
  </sheetData>
  <mergeCells count="43">
    <mergeCell ref="E35:F35"/>
    <mergeCell ref="B27:D27"/>
    <mergeCell ref="B25:D25"/>
    <mergeCell ref="F20:G20"/>
    <mergeCell ref="F21:G21"/>
    <mergeCell ref="F25:G25"/>
    <mergeCell ref="C33:C34"/>
    <mergeCell ref="E33:F34"/>
    <mergeCell ref="D29:H30"/>
    <mergeCell ref="B29:C30"/>
    <mergeCell ref="B22:D22"/>
    <mergeCell ref="F27:G27"/>
    <mergeCell ref="B26:D26"/>
    <mergeCell ref="F26:G26"/>
    <mergeCell ref="F16:G16"/>
    <mergeCell ref="F15:G15"/>
    <mergeCell ref="F17:G17"/>
    <mergeCell ref="F19:G19"/>
    <mergeCell ref="F22:G22"/>
    <mergeCell ref="B18:D18"/>
    <mergeCell ref="B24:D24"/>
    <mergeCell ref="F24:G24"/>
    <mergeCell ref="F18:G18"/>
    <mergeCell ref="B17:D17"/>
    <mergeCell ref="B20:D20"/>
    <mergeCell ref="F23:G23"/>
    <mergeCell ref="B19:D19"/>
    <mergeCell ref="B2:H2"/>
    <mergeCell ref="B3:H3"/>
    <mergeCell ref="B15:D15"/>
    <mergeCell ref="B23:D23"/>
    <mergeCell ref="B13:H13"/>
    <mergeCell ref="B4:H4"/>
    <mergeCell ref="B8:E8"/>
    <mergeCell ref="G5:H5"/>
    <mergeCell ref="G6:H6"/>
    <mergeCell ref="G9:H9"/>
    <mergeCell ref="G10:H10"/>
    <mergeCell ref="G11:H11"/>
    <mergeCell ref="C5:E5"/>
    <mergeCell ref="C6:E6"/>
    <mergeCell ref="B21:D21"/>
    <mergeCell ref="B16:D16"/>
  </mergeCells>
  <printOptions horizontalCentered="1"/>
  <pageMargins left="0" right="0" top="0" bottom="0" header="0.19685039370078741" footer="0.19685039370078741"/>
  <pageSetup paperSize="9" scale="111" orientation="portrait" r:id="rId1"/>
  <headerFooter>
    <oddFooter>&amp;LSalary Sheet Template&amp;RBy: MSOfficeGeek.com</oddFooter>
  </headerFooter>
  <rowBreaks count="1" manualBreakCount="1">
    <brk id="37" max="8" man="1"/>
  </rowBreaks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9</xdr:col>
                <xdr:colOff>76200</xdr:colOff>
                <xdr:row>3</xdr:row>
                <xdr:rowOff>144780</xdr:rowOff>
              </from>
              <to>
                <xdr:col>11</xdr:col>
                <xdr:colOff>30480</xdr:colOff>
                <xdr:row>5</xdr:row>
                <xdr:rowOff>137160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9</xdr:col>
                <xdr:colOff>167640</xdr:colOff>
                <xdr:row>1</xdr:row>
                <xdr:rowOff>327660</xdr:rowOff>
              </from>
              <to>
                <xdr:col>10</xdr:col>
                <xdr:colOff>533400</xdr:colOff>
                <xdr:row>2</xdr:row>
                <xdr:rowOff>213360</xdr:rowOff>
              </to>
            </anchor>
          </controlPr>
        </control>
      </mc:Choice>
      <mc:Fallback>
        <control shapeId="2051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'Salary Calculations'!C7:C56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Employee Attendance</vt:lpstr>
      <vt:lpstr>Salary Calculations</vt:lpstr>
      <vt:lpstr>Salary Data</vt:lpstr>
      <vt:lpstr>Salary Slip Generator</vt:lpstr>
      <vt:lpstr>Sheet1</vt:lpstr>
      <vt:lpstr>'Salary Slip Generator'!Print_Area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MSOfficeGeek;Fahim</dc:creator>
  <cp:keywords>Salary Sheet Template - India</cp:keywords>
  <cp:lastModifiedBy>Ayan  Agrawal</cp:lastModifiedBy>
  <cp:lastPrinted>2021-05-10T08:21:29Z</cp:lastPrinted>
  <dcterms:created xsi:type="dcterms:W3CDTF">2021-02-27T06:08:06Z</dcterms:created>
  <dcterms:modified xsi:type="dcterms:W3CDTF">2024-03-17T14:50:38Z</dcterms:modified>
</cp:coreProperties>
</file>